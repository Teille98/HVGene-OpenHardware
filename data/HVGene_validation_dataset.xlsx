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o\AppData\Local\Temp\claude\C--Users-Teo-SynologyDrive-Obsidian-COSMIC-04-R-daction-1-Articles-generator-hardwareX\da640f6b-b219-41d1-b3af-b4334022494f\scratchpad\ds\"/>
    </mc:Choice>
  </mc:AlternateContent>
  <xr:revisionPtr revIDLastSave="0" documentId="13_ncr:1_{B90AA762-F24A-415E-8A43-A11E03C96F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quipment" sheetId="2" r:id="rId1"/>
    <sheet name="Exp 1 - Probe_Characterization" sheetId="3" r:id="rId2"/>
    <sheet name="Exp 2.1 - DBD_V_sweep" sheetId="4" r:id="rId3"/>
    <sheet name="Exp 2.2 - DBD_Freq_sweep" sheetId="5" r:id="rId4"/>
    <sheet name="Exp 2.3 - DBD_DutyCycle_sweep" sheetId="6" r:id="rId5"/>
    <sheet name="Exp 3 - Thermal_test" sheetId="7" r:id="rId6"/>
    <sheet name="Exp 4 - Reproducibility" sheetId="8" r:id="rId7"/>
    <sheet name="Data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5" l="1"/>
  <c r="Y180" i="9"/>
  <c r="U180" i="9"/>
  <c r="T180" i="9"/>
  <c r="Q180" i="9"/>
  <c r="M180" i="9"/>
  <c r="L180" i="9"/>
  <c r="V180" i="9" s="1"/>
  <c r="K180" i="9"/>
  <c r="I180" i="9"/>
  <c r="H180" i="9"/>
  <c r="G180" i="9"/>
  <c r="F180" i="9"/>
  <c r="E180" i="9"/>
  <c r="D180" i="9"/>
  <c r="C180" i="9"/>
  <c r="B180" i="9"/>
  <c r="Y179" i="9"/>
  <c r="V179" i="9"/>
  <c r="U179" i="9"/>
  <c r="T179" i="9"/>
  <c r="Q179" i="9"/>
  <c r="M179" i="9"/>
  <c r="L179" i="9"/>
  <c r="K179" i="9"/>
  <c r="I179" i="9"/>
  <c r="H179" i="9"/>
  <c r="G179" i="9"/>
  <c r="F179" i="9"/>
  <c r="E179" i="9"/>
  <c r="D179" i="9"/>
  <c r="C179" i="9"/>
  <c r="B179" i="9"/>
  <c r="Y178" i="9"/>
  <c r="U178" i="9"/>
  <c r="T178" i="9"/>
  <c r="Q178" i="9"/>
  <c r="M178" i="9"/>
  <c r="L178" i="9"/>
  <c r="V178" i="9" s="1"/>
  <c r="K178" i="9"/>
  <c r="I178" i="9"/>
  <c r="H178" i="9"/>
  <c r="G178" i="9"/>
  <c r="F178" i="9"/>
  <c r="E178" i="9"/>
  <c r="D178" i="9"/>
  <c r="C178" i="9"/>
  <c r="B178" i="9"/>
  <c r="Y177" i="9"/>
  <c r="V177" i="9"/>
  <c r="U177" i="9"/>
  <c r="T177" i="9"/>
  <c r="Q177" i="9"/>
  <c r="M177" i="9"/>
  <c r="L177" i="9"/>
  <c r="K177" i="9"/>
  <c r="I177" i="9"/>
  <c r="H177" i="9"/>
  <c r="G177" i="9"/>
  <c r="F177" i="9"/>
  <c r="E177" i="9"/>
  <c r="D177" i="9"/>
  <c r="C177" i="9"/>
  <c r="B177" i="9"/>
  <c r="Y176" i="9"/>
  <c r="U176" i="9"/>
  <c r="T176" i="9"/>
  <c r="Q176" i="9"/>
  <c r="M176" i="9"/>
  <c r="L176" i="9"/>
  <c r="V176" i="9" s="1"/>
  <c r="K176" i="9"/>
  <c r="I176" i="9"/>
  <c r="H176" i="9"/>
  <c r="G176" i="9"/>
  <c r="F176" i="9"/>
  <c r="E176" i="9"/>
  <c r="D176" i="9"/>
  <c r="C176" i="9"/>
  <c r="B176" i="9"/>
  <c r="Y175" i="9"/>
  <c r="V175" i="9"/>
  <c r="U175" i="9"/>
  <c r="T175" i="9"/>
  <c r="Q175" i="9"/>
  <c r="M175" i="9"/>
  <c r="L175" i="9"/>
  <c r="K175" i="9"/>
  <c r="I175" i="9"/>
  <c r="H175" i="9"/>
  <c r="G175" i="9"/>
  <c r="F175" i="9"/>
  <c r="E175" i="9"/>
  <c r="D175" i="9"/>
  <c r="C175" i="9"/>
  <c r="B175" i="9"/>
  <c r="Y174" i="9"/>
  <c r="U174" i="9"/>
  <c r="T174" i="9"/>
  <c r="Q174" i="9"/>
  <c r="M174" i="9"/>
  <c r="L174" i="9"/>
  <c r="V174" i="9" s="1"/>
  <c r="K174" i="9"/>
  <c r="I174" i="9"/>
  <c r="H174" i="9"/>
  <c r="G174" i="9"/>
  <c r="F174" i="9"/>
  <c r="E174" i="9"/>
  <c r="D174" i="9"/>
  <c r="C174" i="9"/>
  <c r="B174" i="9"/>
  <c r="Y173" i="9"/>
  <c r="V173" i="9"/>
  <c r="U173" i="9"/>
  <c r="T173" i="9"/>
  <c r="Q173" i="9"/>
  <c r="M173" i="9"/>
  <c r="L173" i="9"/>
  <c r="K173" i="9"/>
  <c r="I173" i="9"/>
  <c r="H173" i="9"/>
  <c r="G173" i="9"/>
  <c r="F173" i="9"/>
  <c r="E173" i="9"/>
  <c r="D173" i="9"/>
  <c r="C173" i="9"/>
  <c r="B173" i="9"/>
  <c r="Y172" i="9"/>
  <c r="U172" i="9"/>
  <c r="T172" i="9"/>
  <c r="Q172" i="9"/>
  <c r="M172" i="9"/>
  <c r="L172" i="9"/>
  <c r="V172" i="9" s="1"/>
  <c r="K172" i="9"/>
  <c r="I172" i="9"/>
  <c r="H172" i="9"/>
  <c r="G172" i="9"/>
  <c r="F172" i="9"/>
  <c r="E172" i="9"/>
  <c r="D172" i="9"/>
  <c r="C172" i="9"/>
  <c r="B172" i="9"/>
  <c r="Y171" i="9"/>
  <c r="V171" i="9"/>
  <c r="U171" i="9"/>
  <c r="T171" i="9"/>
  <c r="Q171" i="9"/>
  <c r="M171" i="9"/>
  <c r="L171" i="9"/>
  <c r="K171" i="9"/>
  <c r="I171" i="9"/>
  <c r="H171" i="9"/>
  <c r="G171" i="9"/>
  <c r="F171" i="9"/>
  <c r="E171" i="9"/>
  <c r="D171" i="9"/>
  <c r="C171" i="9"/>
  <c r="B171" i="9"/>
  <c r="Y170" i="9"/>
  <c r="U170" i="9"/>
  <c r="T170" i="9"/>
  <c r="Q170" i="9"/>
  <c r="M170" i="9"/>
  <c r="L170" i="9"/>
  <c r="V170" i="9" s="1"/>
  <c r="K170" i="9"/>
  <c r="I170" i="9"/>
  <c r="H170" i="9"/>
  <c r="G170" i="9"/>
  <c r="F170" i="9"/>
  <c r="E170" i="9"/>
  <c r="D170" i="9"/>
  <c r="C170" i="9"/>
  <c r="B170" i="9"/>
  <c r="Y169" i="9"/>
  <c r="U169" i="9"/>
  <c r="T169" i="9"/>
  <c r="Q169" i="9"/>
  <c r="M169" i="9"/>
  <c r="L169" i="9"/>
  <c r="V169" i="9" s="1"/>
  <c r="K169" i="9"/>
  <c r="I169" i="9"/>
  <c r="H169" i="9"/>
  <c r="G169" i="9"/>
  <c r="F169" i="9"/>
  <c r="E169" i="9"/>
  <c r="D169" i="9"/>
  <c r="C169" i="9"/>
  <c r="B169" i="9"/>
  <c r="Y168" i="9"/>
  <c r="U168" i="9"/>
  <c r="T168" i="9"/>
  <c r="Q168" i="9"/>
  <c r="M168" i="9"/>
  <c r="L168" i="9"/>
  <c r="V168" i="9" s="1"/>
  <c r="K168" i="9"/>
  <c r="I168" i="9"/>
  <c r="H168" i="9"/>
  <c r="G168" i="9"/>
  <c r="F168" i="9"/>
  <c r="E168" i="9"/>
  <c r="D168" i="9"/>
  <c r="C168" i="9"/>
  <c r="B168" i="9"/>
  <c r="Y167" i="9"/>
  <c r="U167" i="9"/>
  <c r="T167" i="9"/>
  <c r="Q167" i="9"/>
  <c r="M167" i="9"/>
  <c r="L167" i="9"/>
  <c r="V167" i="9" s="1"/>
  <c r="K167" i="9"/>
  <c r="I167" i="9"/>
  <c r="H167" i="9"/>
  <c r="G167" i="9"/>
  <c r="F167" i="9"/>
  <c r="E167" i="9"/>
  <c r="D167" i="9"/>
  <c r="C167" i="9"/>
  <c r="B167" i="9"/>
  <c r="Y166" i="9"/>
  <c r="U166" i="9"/>
  <c r="T166" i="9"/>
  <c r="Q166" i="9"/>
  <c r="M166" i="9"/>
  <c r="L166" i="9"/>
  <c r="V166" i="9" s="1"/>
  <c r="K166" i="9"/>
  <c r="I166" i="9"/>
  <c r="H166" i="9"/>
  <c r="G166" i="9"/>
  <c r="F166" i="9"/>
  <c r="E166" i="9"/>
  <c r="D166" i="9"/>
  <c r="C166" i="9"/>
  <c r="B166" i="9"/>
  <c r="Y165" i="9"/>
  <c r="V165" i="9"/>
  <c r="U165" i="9"/>
  <c r="T165" i="9"/>
  <c r="Q165" i="9"/>
  <c r="M165" i="9"/>
  <c r="L165" i="9"/>
  <c r="K165" i="9"/>
  <c r="I165" i="9"/>
  <c r="H165" i="9"/>
  <c r="G165" i="9"/>
  <c r="F165" i="9"/>
  <c r="E165" i="9"/>
  <c r="D165" i="9"/>
  <c r="C165" i="9"/>
  <c r="B165" i="9"/>
  <c r="Y164" i="9"/>
  <c r="U164" i="9"/>
  <c r="T164" i="9"/>
  <c r="Q164" i="9"/>
  <c r="M164" i="9"/>
  <c r="L164" i="9"/>
  <c r="V164" i="9" s="1"/>
  <c r="K164" i="9"/>
  <c r="I164" i="9"/>
  <c r="H164" i="9"/>
  <c r="G164" i="9"/>
  <c r="F164" i="9"/>
  <c r="E164" i="9"/>
  <c r="D164" i="9"/>
  <c r="C164" i="9"/>
  <c r="B164" i="9"/>
  <c r="Y163" i="9"/>
  <c r="U163" i="9"/>
  <c r="T163" i="9"/>
  <c r="Q163" i="9"/>
  <c r="M163" i="9"/>
  <c r="L163" i="9"/>
  <c r="V163" i="9" s="1"/>
  <c r="K163" i="9"/>
  <c r="I163" i="9"/>
  <c r="H163" i="9"/>
  <c r="G163" i="9"/>
  <c r="F163" i="9"/>
  <c r="E163" i="9"/>
  <c r="D163" i="9"/>
  <c r="C163" i="9"/>
  <c r="B163" i="9"/>
  <c r="Y162" i="9"/>
  <c r="U162" i="9"/>
  <c r="T162" i="9"/>
  <c r="Q162" i="9"/>
  <c r="M162" i="9"/>
  <c r="L162" i="9"/>
  <c r="V162" i="9" s="1"/>
  <c r="K162" i="9"/>
  <c r="I162" i="9"/>
  <c r="H162" i="9"/>
  <c r="G162" i="9"/>
  <c r="F162" i="9"/>
  <c r="E162" i="9"/>
  <c r="D162" i="9"/>
  <c r="C162" i="9"/>
  <c r="B162" i="9"/>
  <c r="Y161" i="9"/>
  <c r="V161" i="9"/>
  <c r="U161" i="9"/>
  <c r="T161" i="9"/>
  <c r="Q161" i="9"/>
  <c r="M161" i="9"/>
  <c r="L161" i="9"/>
  <c r="K161" i="9"/>
  <c r="I161" i="9"/>
  <c r="H161" i="9"/>
  <c r="G161" i="9"/>
  <c r="F161" i="9"/>
  <c r="E161" i="9"/>
  <c r="D161" i="9"/>
  <c r="C161" i="9"/>
  <c r="B161" i="9"/>
  <c r="Y160" i="9"/>
  <c r="U160" i="9"/>
  <c r="T160" i="9"/>
  <c r="Q160" i="9"/>
  <c r="M160" i="9"/>
  <c r="L160" i="9"/>
  <c r="V160" i="9" s="1"/>
  <c r="K160" i="9"/>
  <c r="I160" i="9"/>
  <c r="H160" i="9"/>
  <c r="G160" i="9"/>
  <c r="F160" i="9"/>
  <c r="E160" i="9"/>
  <c r="D160" i="9"/>
  <c r="C160" i="9"/>
  <c r="B160" i="9"/>
  <c r="Y159" i="9"/>
  <c r="U159" i="9"/>
  <c r="T159" i="9"/>
  <c r="Q159" i="9"/>
  <c r="M159" i="9"/>
  <c r="L159" i="9"/>
  <c r="V159" i="9" s="1"/>
  <c r="K159" i="9"/>
  <c r="I159" i="9"/>
  <c r="H159" i="9"/>
  <c r="G159" i="9"/>
  <c r="F159" i="9"/>
  <c r="E159" i="9"/>
  <c r="D159" i="9"/>
  <c r="C159" i="9"/>
  <c r="B159" i="9"/>
  <c r="Y158" i="9"/>
  <c r="U158" i="9"/>
  <c r="T158" i="9"/>
  <c r="Q158" i="9"/>
  <c r="M158" i="9"/>
  <c r="L158" i="9"/>
  <c r="V158" i="9" s="1"/>
  <c r="K158" i="9"/>
  <c r="I158" i="9"/>
  <c r="H158" i="9"/>
  <c r="G158" i="9"/>
  <c r="F158" i="9"/>
  <c r="E158" i="9"/>
  <c r="D158" i="9"/>
  <c r="C158" i="9"/>
  <c r="B158" i="9"/>
  <c r="Y157" i="9"/>
  <c r="V157" i="9"/>
  <c r="U157" i="9"/>
  <c r="T157" i="9"/>
  <c r="Q157" i="9"/>
  <c r="M157" i="9"/>
  <c r="L157" i="9"/>
  <c r="K157" i="9"/>
  <c r="I157" i="9"/>
  <c r="H157" i="9"/>
  <c r="G157" i="9"/>
  <c r="F157" i="9"/>
  <c r="E157" i="9"/>
  <c r="D157" i="9"/>
  <c r="C157" i="9"/>
  <c r="B157" i="9"/>
  <c r="Y156" i="9"/>
  <c r="U156" i="9"/>
  <c r="T156" i="9"/>
  <c r="Q156" i="9"/>
  <c r="M156" i="9"/>
  <c r="L156" i="9"/>
  <c r="V156" i="9" s="1"/>
  <c r="K156" i="9"/>
  <c r="I156" i="9"/>
  <c r="H156" i="9"/>
  <c r="G156" i="9"/>
  <c r="F156" i="9"/>
  <c r="E156" i="9"/>
  <c r="D156" i="9"/>
  <c r="C156" i="9"/>
  <c r="B156" i="9"/>
  <c r="Y155" i="9"/>
  <c r="U155" i="9"/>
  <c r="T155" i="9"/>
  <c r="Q155" i="9"/>
  <c r="M155" i="9"/>
  <c r="L155" i="9"/>
  <c r="K155" i="9"/>
  <c r="I155" i="9"/>
  <c r="H155" i="9"/>
  <c r="G155" i="9"/>
  <c r="F155" i="9"/>
  <c r="E155" i="9"/>
  <c r="D155" i="9"/>
  <c r="C155" i="9"/>
  <c r="B155" i="9"/>
  <c r="Y154" i="9"/>
  <c r="U154" i="9"/>
  <c r="T154" i="9"/>
  <c r="Q154" i="9"/>
  <c r="M154" i="9"/>
  <c r="L154" i="9"/>
  <c r="K154" i="9"/>
  <c r="I154" i="9"/>
  <c r="H154" i="9"/>
  <c r="G154" i="9"/>
  <c r="F154" i="9"/>
  <c r="E154" i="9"/>
  <c r="D154" i="9"/>
  <c r="C154" i="9"/>
  <c r="B154" i="9"/>
  <c r="Y153" i="9"/>
  <c r="U153" i="9"/>
  <c r="T153" i="9"/>
  <c r="Q153" i="9"/>
  <c r="M153" i="9"/>
  <c r="L153" i="9"/>
  <c r="K153" i="9"/>
  <c r="I153" i="9"/>
  <c r="H153" i="9"/>
  <c r="G153" i="9"/>
  <c r="F153" i="9"/>
  <c r="E153" i="9"/>
  <c r="D153" i="9"/>
  <c r="C153" i="9"/>
  <c r="B153" i="9"/>
  <c r="Y152" i="9"/>
  <c r="U152" i="9"/>
  <c r="T152" i="9"/>
  <c r="Q152" i="9"/>
  <c r="M152" i="9"/>
  <c r="L152" i="9"/>
  <c r="K152" i="9"/>
  <c r="I152" i="9"/>
  <c r="H152" i="9"/>
  <c r="G152" i="9"/>
  <c r="F152" i="9"/>
  <c r="E152" i="9"/>
  <c r="D152" i="9"/>
  <c r="C152" i="9"/>
  <c r="B152" i="9"/>
  <c r="Y151" i="9"/>
  <c r="V151" i="9"/>
  <c r="U151" i="9"/>
  <c r="T151" i="9"/>
  <c r="Q151" i="9"/>
  <c r="M151" i="9"/>
  <c r="L151" i="9"/>
  <c r="K151" i="9"/>
  <c r="I151" i="9"/>
  <c r="H151" i="9"/>
  <c r="G151" i="9"/>
  <c r="F151" i="9"/>
  <c r="E151" i="9"/>
  <c r="D151" i="9"/>
  <c r="C151" i="9"/>
  <c r="B151" i="9"/>
  <c r="Y150" i="9"/>
  <c r="U150" i="9"/>
  <c r="T150" i="9"/>
  <c r="Q150" i="9"/>
  <c r="M150" i="9"/>
  <c r="L150" i="9"/>
  <c r="K150" i="9"/>
  <c r="I150" i="9"/>
  <c r="H150" i="9"/>
  <c r="G150" i="9"/>
  <c r="F150" i="9"/>
  <c r="E150" i="9"/>
  <c r="D150" i="9"/>
  <c r="C150" i="9"/>
  <c r="B150" i="9"/>
  <c r="Y149" i="9"/>
  <c r="U149" i="9"/>
  <c r="T149" i="9"/>
  <c r="Q149" i="9"/>
  <c r="M149" i="9"/>
  <c r="L149" i="9"/>
  <c r="K149" i="9"/>
  <c r="I149" i="9"/>
  <c r="H149" i="9"/>
  <c r="G149" i="9"/>
  <c r="F149" i="9"/>
  <c r="E149" i="9"/>
  <c r="D149" i="9"/>
  <c r="C149" i="9"/>
  <c r="B149" i="9"/>
  <c r="Y148" i="9"/>
  <c r="U148" i="9"/>
  <c r="T148" i="9"/>
  <c r="Q148" i="9"/>
  <c r="M148" i="9"/>
  <c r="L148" i="9"/>
  <c r="K148" i="9"/>
  <c r="I148" i="9"/>
  <c r="H148" i="9"/>
  <c r="G148" i="9"/>
  <c r="F148" i="9"/>
  <c r="E148" i="9"/>
  <c r="D148" i="9"/>
  <c r="C148" i="9"/>
  <c r="B148" i="9"/>
  <c r="Y147" i="9"/>
  <c r="V147" i="9"/>
  <c r="U147" i="9"/>
  <c r="T147" i="9"/>
  <c r="Q147" i="9"/>
  <c r="M147" i="9"/>
  <c r="L147" i="9"/>
  <c r="K147" i="9"/>
  <c r="I147" i="9"/>
  <c r="H147" i="9"/>
  <c r="G147" i="9"/>
  <c r="F147" i="9"/>
  <c r="E147" i="9"/>
  <c r="D147" i="9"/>
  <c r="C147" i="9"/>
  <c r="B147" i="9"/>
  <c r="Y146" i="9"/>
  <c r="U146" i="9"/>
  <c r="T146" i="9"/>
  <c r="Q146" i="9"/>
  <c r="M146" i="9"/>
  <c r="L146" i="9"/>
  <c r="K146" i="9"/>
  <c r="I146" i="9"/>
  <c r="H146" i="9"/>
  <c r="G146" i="9"/>
  <c r="F146" i="9"/>
  <c r="E146" i="9"/>
  <c r="D146" i="9"/>
  <c r="C146" i="9"/>
  <c r="B146" i="9"/>
  <c r="Y145" i="9"/>
  <c r="U145" i="9"/>
  <c r="T145" i="9"/>
  <c r="Q145" i="9"/>
  <c r="M145" i="9"/>
  <c r="L145" i="9"/>
  <c r="K145" i="9"/>
  <c r="I145" i="9"/>
  <c r="H145" i="9"/>
  <c r="G145" i="9"/>
  <c r="F145" i="9"/>
  <c r="E145" i="9"/>
  <c r="D145" i="9"/>
  <c r="C145" i="9"/>
  <c r="B145" i="9"/>
  <c r="Y144" i="9"/>
  <c r="U144" i="9"/>
  <c r="T144" i="9"/>
  <c r="Q144" i="9"/>
  <c r="M144" i="9"/>
  <c r="L144" i="9"/>
  <c r="K144" i="9"/>
  <c r="I144" i="9"/>
  <c r="H144" i="9"/>
  <c r="G144" i="9"/>
  <c r="F144" i="9"/>
  <c r="E144" i="9"/>
  <c r="D144" i="9"/>
  <c r="C144" i="9"/>
  <c r="B144" i="9"/>
  <c r="Y143" i="9"/>
  <c r="V143" i="9"/>
  <c r="U143" i="9"/>
  <c r="T143" i="9"/>
  <c r="Q143" i="9"/>
  <c r="M143" i="9"/>
  <c r="L143" i="9"/>
  <c r="K143" i="9"/>
  <c r="I143" i="9"/>
  <c r="H143" i="9"/>
  <c r="G143" i="9"/>
  <c r="F143" i="9"/>
  <c r="E143" i="9"/>
  <c r="D143" i="9"/>
  <c r="C143" i="9"/>
  <c r="B143" i="9"/>
  <c r="Y142" i="9"/>
  <c r="U142" i="9"/>
  <c r="T142" i="9"/>
  <c r="Q142" i="9"/>
  <c r="M142" i="9"/>
  <c r="L142" i="9"/>
  <c r="V142" i="9" s="1"/>
  <c r="K142" i="9"/>
  <c r="I142" i="9"/>
  <c r="H142" i="9"/>
  <c r="G142" i="9"/>
  <c r="F142" i="9"/>
  <c r="E142" i="9"/>
  <c r="D142" i="9"/>
  <c r="C142" i="9"/>
  <c r="B142" i="9"/>
  <c r="Y141" i="9"/>
  <c r="U141" i="9"/>
  <c r="T141" i="9"/>
  <c r="Q141" i="9"/>
  <c r="M141" i="9"/>
  <c r="L141" i="9"/>
  <c r="K141" i="9"/>
  <c r="I141" i="9"/>
  <c r="H141" i="9"/>
  <c r="G141" i="9"/>
  <c r="F141" i="9"/>
  <c r="E141" i="9"/>
  <c r="D141" i="9"/>
  <c r="C141" i="9"/>
  <c r="B141" i="9"/>
  <c r="Y140" i="9"/>
  <c r="U140" i="9"/>
  <c r="T140" i="9"/>
  <c r="Q140" i="9"/>
  <c r="M140" i="9"/>
  <c r="L140" i="9"/>
  <c r="V140" i="9" s="1"/>
  <c r="K140" i="9"/>
  <c r="I140" i="9"/>
  <c r="H140" i="9"/>
  <c r="G140" i="9"/>
  <c r="F140" i="9"/>
  <c r="E140" i="9"/>
  <c r="D140" i="9"/>
  <c r="C140" i="9"/>
  <c r="B140" i="9"/>
  <c r="Y139" i="9"/>
  <c r="U139" i="9"/>
  <c r="T139" i="9"/>
  <c r="Q139" i="9"/>
  <c r="M139" i="9"/>
  <c r="L139" i="9"/>
  <c r="K139" i="9"/>
  <c r="I139" i="9"/>
  <c r="H139" i="9"/>
  <c r="G139" i="9"/>
  <c r="F139" i="9"/>
  <c r="E139" i="9"/>
  <c r="D139" i="9"/>
  <c r="C139" i="9"/>
  <c r="B139" i="9"/>
  <c r="Y138" i="9"/>
  <c r="U138" i="9"/>
  <c r="T138" i="9"/>
  <c r="Q138" i="9"/>
  <c r="M138" i="9"/>
  <c r="L138" i="9"/>
  <c r="K138" i="9"/>
  <c r="I138" i="9"/>
  <c r="H138" i="9"/>
  <c r="G138" i="9"/>
  <c r="F138" i="9"/>
  <c r="E138" i="9"/>
  <c r="D138" i="9"/>
  <c r="C138" i="9"/>
  <c r="B138" i="9"/>
  <c r="Y137" i="9"/>
  <c r="V137" i="9"/>
  <c r="U137" i="9"/>
  <c r="T137" i="9"/>
  <c r="Q137" i="9"/>
  <c r="M137" i="9"/>
  <c r="L137" i="9"/>
  <c r="K137" i="9"/>
  <c r="I137" i="9"/>
  <c r="H137" i="9"/>
  <c r="G137" i="9"/>
  <c r="F137" i="9"/>
  <c r="E137" i="9"/>
  <c r="D137" i="9"/>
  <c r="C137" i="9"/>
  <c r="B137" i="9"/>
  <c r="Y136" i="9"/>
  <c r="U136" i="9"/>
  <c r="T136" i="9"/>
  <c r="Q136" i="9"/>
  <c r="M136" i="9"/>
  <c r="L136" i="9"/>
  <c r="V136" i="9" s="1"/>
  <c r="K136" i="9"/>
  <c r="I136" i="9"/>
  <c r="H136" i="9"/>
  <c r="G136" i="9"/>
  <c r="F136" i="9"/>
  <c r="E136" i="9"/>
  <c r="D136" i="9"/>
  <c r="C136" i="9"/>
  <c r="B136" i="9"/>
  <c r="Y135" i="9"/>
  <c r="V135" i="9"/>
  <c r="U135" i="9"/>
  <c r="T135" i="9"/>
  <c r="Q135" i="9"/>
  <c r="M135" i="9"/>
  <c r="L135" i="9"/>
  <c r="K135" i="9"/>
  <c r="I135" i="9"/>
  <c r="H135" i="9"/>
  <c r="G135" i="9"/>
  <c r="F135" i="9"/>
  <c r="E135" i="9"/>
  <c r="D135" i="9"/>
  <c r="C135" i="9"/>
  <c r="B135" i="9"/>
  <c r="Y134" i="9"/>
  <c r="U134" i="9"/>
  <c r="T134" i="9"/>
  <c r="Q134" i="9"/>
  <c r="M134" i="9"/>
  <c r="L134" i="9"/>
  <c r="V134" i="9" s="1"/>
  <c r="K134" i="9"/>
  <c r="I134" i="9"/>
  <c r="H134" i="9"/>
  <c r="G134" i="9"/>
  <c r="F134" i="9"/>
  <c r="E134" i="9"/>
  <c r="D134" i="9"/>
  <c r="C134" i="9"/>
  <c r="B134" i="9"/>
  <c r="Y133" i="9"/>
  <c r="U133" i="9"/>
  <c r="T133" i="9"/>
  <c r="Q133" i="9"/>
  <c r="M133" i="9"/>
  <c r="L133" i="9"/>
  <c r="K133" i="9"/>
  <c r="I133" i="9"/>
  <c r="H133" i="9"/>
  <c r="G133" i="9"/>
  <c r="F133" i="9"/>
  <c r="E133" i="9"/>
  <c r="D133" i="9"/>
  <c r="C133" i="9"/>
  <c r="B133" i="9"/>
  <c r="Y132" i="9"/>
  <c r="U132" i="9"/>
  <c r="T132" i="9"/>
  <c r="Q132" i="9"/>
  <c r="M132" i="9"/>
  <c r="L132" i="9"/>
  <c r="V132" i="9" s="1"/>
  <c r="K132" i="9"/>
  <c r="I132" i="9"/>
  <c r="H132" i="9"/>
  <c r="G132" i="9"/>
  <c r="F132" i="9"/>
  <c r="E132" i="9"/>
  <c r="D132" i="9"/>
  <c r="C132" i="9"/>
  <c r="B132" i="9"/>
  <c r="Y131" i="9"/>
  <c r="U131" i="9"/>
  <c r="T131" i="9"/>
  <c r="Q131" i="9"/>
  <c r="M131" i="9"/>
  <c r="L131" i="9"/>
  <c r="V131" i="9" s="1"/>
  <c r="K131" i="9"/>
  <c r="I131" i="9"/>
  <c r="H131" i="9"/>
  <c r="G131" i="9"/>
  <c r="F131" i="9"/>
  <c r="E131" i="9"/>
  <c r="D131" i="9"/>
  <c r="C131" i="9"/>
  <c r="B131" i="9"/>
  <c r="Y130" i="9"/>
  <c r="U130" i="9"/>
  <c r="T130" i="9"/>
  <c r="Q130" i="9"/>
  <c r="M130" i="9"/>
  <c r="L130" i="9"/>
  <c r="V130" i="9" s="1"/>
  <c r="K130" i="9"/>
  <c r="I130" i="9"/>
  <c r="H130" i="9"/>
  <c r="G130" i="9"/>
  <c r="F130" i="9"/>
  <c r="E130" i="9"/>
  <c r="D130" i="9"/>
  <c r="C130" i="9"/>
  <c r="B130" i="9"/>
  <c r="Y129" i="9"/>
  <c r="V129" i="9"/>
  <c r="U129" i="9"/>
  <c r="T129" i="9"/>
  <c r="Q129" i="9"/>
  <c r="M129" i="9"/>
  <c r="L129" i="9"/>
  <c r="K129" i="9"/>
  <c r="I129" i="9"/>
  <c r="H129" i="9"/>
  <c r="G129" i="9"/>
  <c r="F129" i="9"/>
  <c r="E129" i="9"/>
  <c r="D129" i="9"/>
  <c r="C129" i="9"/>
  <c r="B129" i="9"/>
  <c r="Y128" i="9"/>
  <c r="U128" i="9"/>
  <c r="T128" i="9"/>
  <c r="Q128" i="9"/>
  <c r="M128" i="9"/>
  <c r="L128" i="9"/>
  <c r="V128" i="9" s="1"/>
  <c r="K128" i="9"/>
  <c r="I128" i="9"/>
  <c r="H128" i="9"/>
  <c r="G128" i="9"/>
  <c r="F128" i="9"/>
  <c r="E128" i="9"/>
  <c r="D128" i="9"/>
  <c r="C128" i="9"/>
  <c r="B128" i="9"/>
  <c r="Y127" i="9"/>
  <c r="V127" i="9"/>
  <c r="U127" i="9"/>
  <c r="T127" i="9"/>
  <c r="Q127" i="9"/>
  <c r="M127" i="9"/>
  <c r="L127" i="9"/>
  <c r="K127" i="9"/>
  <c r="I127" i="9"/>
  <c r="H127" i="9"/>
  <c r="G127" i="9"/>
  <c r="F127" i="9"/>
  <c r="E127" i="9"/>
  <c r="D127" i="9"/>
  <c r="C127" i="9"/>
  <c r="B127" i="9"/>
  <c r="Y126" i="9"/>
  <c r="U126" i="9"/>
  <c r="T126" i="9"/>
  <c r="Q126" i="9"/>
  <c r="M126" i="9"/>
  <c r="L126" i="9"/>
  <c r="V126" i="9" s="1"/>
  <c r="K126" i="9"/>
  <c r="I126" i="9"/>
  <c r="H126" i="9"/>
  <c r="G126" i="9"/>
  <c r="F126" i="9"/>
  <c r="E126" i="9"/>
  <c r="D126" i="9"/>
  <c r="C126" i="9"/>
  <c r="B126" i="9"/>
  <c r="Y125" i="9"/>
  <c r="U125" i="9"/>
  <c r="T125" i="9"/>
  <c r="Q125" i="9"/>
  <c r="M125" i="9"/>
  <c r="L125" i="9"/>
  <c r="V125" i="9" s="1"/>
  <c r="K125" i="9"/>
  <c r="I125" i="9"/>
  <c r="H125" i="9"/>
  <c r="G125" i="9"/>
  <c r="F125" i="9"/>
  <c r="E125" i="9"/>
  <c r="D125" i="9"/>
  <c r="C125" i="9"/>
  <c r="B125" i="9"/>
  <c r="Y124" i="9"/>
  <c r="U124" i="9"/>
  <c r="T124" i="9"/>
  <c r="Q124" i="9"/>
  <c r="M124" i="9"/>
  <c r="L124" i="9"/>
  <c r="V124" i="9" s="1"/>
  <c r="K124" i="9"/>
  <c r="I124" i="9"/>
  <c r="H124" i="9"/>
  <c r="G124" i="9"/>
  <c r="F124" i="9"/>
  <c r="E124" i="9"/>
  <c r="D124" i="9"/>
  <c r="C124" i="9"/>
  <c r="B124" i="9"/>
  <c r="Y123" i="9"/>
  <c r="V123" i="9"/>
  <c r="U123" i="9"/>
  <c r="T123" i="9"/>
  <c r="Q123" i="9"/>
  <c r="M123" i="9"/>
  <c r="L123" i="9"/>
  <c r="K123" i="9"/>
  <c r="I123" i="9"/>
  <c r="H123" i="9"/>
  <c r="G123" i="9"/>
  <c r="F123" i="9"/>
  <c r="E123" i="9"/>
  <c r="D123" i="9"/>
  <c r="C123" i="9"/>
  <c r="B123" i="9"/>
  <c r="Y122" i="9"/>
  <c r="U122" i="9"/>
  <c r="T122" i="9"/>
  <c r="Q122" i="9"/>
  <c r="M122" i="9"/>
  <c r="L122" i="9"/>
  <c r="V122" i="9" s="1"/>
  <c r="K122" i="9"/>
  <c r="I122" i="9"/>
  <c r="H122" i="9"/>
  <c r="G122" i="9"/>
  <c r="F122" i="9"/>
  <c r="E122" i="9"/>
  <c r="D122" i="9"/>
  <c r="C122" i="9"/>
  <c r="B122" i="9"/>
  <c r="Y121" i="9"/>
  <c r="V121" i="9"/>
  <c r="U121" i="9"/>
  <c r="T121" i="9"/>
  <c r="Q121" i="9"/>
  <c r="M121" i="9"/>
  <c r="L121" i="9"/>
  <c r="K121" i="9"/>
  <c r="I121" i="9"/>
  <c r="H121" i="9"/>
  <c r="G121" i="9"/>
  <c r="F121" i="9"/>
  <c r="E121" i="9"/>
  <c r="D121" i="9"/>
  <c r="C121" i="9"/>
  <c r="B121" i="9"/>
  <c r="Y120" i="9"/>
  <c r="U120" i="9"/>
  <c r="T120" i="9"/>
  <c r="Q120" i="9"/>
  <c r="M120" i="9"/>
  <c r="L120" i="9"/>
  <c r="K120" i="9"/>
  <c r="I120" i="9"/>
  <c r="H120" i="9"/>
  <c r="G120" i="9"/>
  <c r="F120" i="9"/>
  <c r="E120" i="9"/>
  <c r="D120" i="9"/>
  <c r="C120" i="9"/>
  <c r="B120" i="9"/>
  <c r="Y119" i="9"/>
  <c r="U119" i="9"/>
  <c r="T119" i="9"/>
  <c r="Q119" i="9"/>
  <c r="M119" i="9"/>
  <c r="L119" i="9"/>
  <c r="K119" i="9"/>
  <c r="I119" i="9"/>
  <c r="H119" i="9"/>
  <c r="G119" i="9"/>
  <c r="F119" i="9"/>
  <c r="E119" i="9"/>
  <c r="D119" i="9"/>
  <c r="C119" i="9"/>
  <c r="B119" i="9"/>
  <c r="Y118" i="9"/>
  <c r="U118" i="9"/>
  <c r="T118" i="9"/>
  <c r="Q118" i="9"/>
  <c r="M118" i="9"/>
  <c r="L118" i="9"/>
  <c r="K118" i="9"/>
  <c r="I118" i="9"/>
  <c r="H118" i="9"/>
  <c r="G118" i="9"/>
  <c r="F118" i="9"/>
  <c r="E118" i="9"/>
  <c r="D118" i="9"/>
  <c r="C118" i="9"/>
  <c r="B118" i="9"/>
  <c r="Y117" i="9"/>
  <c r="U117" i="9"/>
  <c r="T117" i="9"/>
  <c r="Q117" i="9"/>
  <c r="M117" i="9"/>
  <c r="L117" i="9"/>
  <c r="K117" i="9"/>
  <c r="I117" i="9"/>
  <c r="H117" i="9"/>
  <c r="G117" i="9"/>
  <c r="F117" i="9"/>
  <c r="E117" i="9"/>
  <c r="D117" i="9"/>
  <c r="C117" i="9"/>
  <c r="B117" i="9"/>
  <c r="Y116" i="9"/>
  <c r="U116" i="9"/>
  <c r="T116" i="9"/>
  <c r="Q116" i="9"/>
  <c r="M116" i="9"/>
  <c r="L116" i="9"/>
  <c r="K116" i="9"/>
  <c r="I116" i="9"/>
  <c r="H116" i="9"/>
  <c r="G116" i="9"/>
  <c r="F116" i="9"/>
  <c r="E116" i="9"/>
  <c r="D116" i="9"/>
  <c r="C116" i="9"/>
  <c r="B116" i="9"/>
  <c r="Y115" i="9"/>
  <c r="V115" i="9"/>
  <c r="U115" i="9"/>
  <c r="T115" i="9"/>
  <c r="Q115" i="9"/>
  <c r="M115" i="9"/>
  <c r="L115" i="9"/>
  <c r="K115" i="9"/>
  <c r="I115" i="9"/>
  <c r="H115" i="9"/>
  <c r="G115" i="9"/>
  <c r="F115" i="9"/>
  <c r="E115" i="9"/>
  <c r="D115" i="9"/>
  <c r="C115" i="9"/>
  <c r="B115" i="9"/>
  <c r="Y114" i="9"/>
  <c r="U114" i="9"/>
  <c r="T114" i="9"/>
  <c r="Q114" i="9"/>
  <c r="M114" i="9"/>
  <c r="L114" i="9"/>
  <c r="K114" i="9"/>
  <c r="I114" i="9"/>
  <c r="H114" i="9"/>
  <c r="G114" i="9"/>
  <c r="F114" i="9"/>
  <c r="E114" i="9"/>
  <c r="D114" i="9"/>
  <c r="C114" i="9"/>
  <c r="B114" i="9"/>
  <c r="Y113" i="9"/>
  <c r="V113" i="9"/>
  <c r="U113" i="9"/>
  <c r="T113" i="9"/>
  <c r="Q113" i="9"/>
  <c r="M113" i="9"/>
  <c r="L113" i="9"/>
  <c r="K113" i="9"/>
  <c r="I113" i="9"/>
  <c r="H113" i="9"/>
  <c r="G113" i="9"/>
  <c r="F113" i="9"/>
  <c r="E113" i="9"/>
  <c r="D113" i="9"/>
  <c r="C113" i="9"/>
  <c r="B113" i="9"/>
  <c r="Y112" i="9"/>
  <c r="U112" i="9"/>
  <c r="T112" i="9"/>
  <c r="Q112" i="9"/>
  <c r="M112" i="9"/>
  <c r="L112" i="9"/>
  <c r="K112" i="9"/>
  <c r="I112" i="9"/>
  <c r="H112" i="9"/>
  <c r="G112" i="9"/>
  <c r="F112" i="9"/>
  <c r="E112" i="9"/>
  <c r="D112" i="9"/>
  <c r="C112" i="9"/>
  <c r="B112" i="9"/>
  <c r="Y111" i="9"/>
  <c r="U111" i="9"/>
  <c r="T111" i="9"/>
  <c r="Q111" i="9"/>
  <c r="M111" i="9"/>
  <c r="L111" i="9"/>
  <c r="K111" i="9"/>
  <c r="I111" i="9"/>
  <c r="H111" i="9"/>
  <c r="G111" i="9"/>
  <c r="F111" i="9"/>
  <c r="E111" i="9"/>
  <c r="D111" i="9"/>
  <c r="C111" i="9"/>
  <c r="B111" i="9"/>
  <c r="Y110" i="9"/>
  <c r="U110" i="9"/>
  <c r="T110" i="9"/>
  <c r="Q110" i="9"/>
  <c r="M110" i="9"/>
  <c r="L110" i="9"/>
  <c r="V110" i="9" s="1"/>
  <c r="K110" i="9"/>
  <c r="I110" i="9"/>
  <c r="H110" i="9"/>
  <c r="G110" i="9"/>
  <c r="F110" i="9"/>
  <c r="E110" i="9"/>
  <c r="D110" i="9"/>
  <c r="C110" i="9"/>
  <c r="B110" i="9"/>
  <c r="Y109" i="9"/>
  <c r="U109" i="9"/>
  <c r="T109" i="9"/>
  <c r="Q109" i="9"/>
  <c r="M109" i="9"/>
  <c r="L109" i="9"/>
  <c r="V109" i="9" s="1"/>
  <c r="K109" i="9"/>
  <c r="I109" i="9"/>
  <c r="H109" i="9"/>
  <c r="G109" i="9"/>
  <c r="F109" i="9"/>
  <c r="E109" i="9"/>
  <c r="D109" i="9"/>
  <c r="C109" i="9"/>
  <c r="B109" i="9"/>
  <c r="Y108" i="9"/>
  <c r="U108" i="9"/>
  <c r="T108" i="9"/>
  <c r="Q108" i="9"/>
  <c r="M108" i="9"/>
  <c r="L108" i="9"/>
  <c r="V108" i="9" s="1"/>
  <c r="K108" i="9"/>
  <c r="I108" i="9"/>
  <c r="H108" i="9"/>
  <c r="G108" i="9"/>
  <c r="F108" i="9"/>
  <c r="E108" i="9"/>
  <c r="D108" i="9"/>
  <c r="C108" i="9"/>
  <c r="B108" i="9"/>
  <c r="Y107" i="9"/>
  <c r="V107" i="9"/>
  <c r="U107" i="9"/>
  <c r="T107" i="9"/>
  <c r="Q107" i="9"/>
  <c r="M107" i="9"/>
  <c r="L107" i="9"/>
  <c r="K107" i="9"/>
  <c r="I107" i="9"/>
  <c r="H107" i="9"/>
  <c r="G107" i="9"/>
  <c r="F107" i="9"/>
  <c r="E107" i="9"/>
  <c r="D107" i="9"/>
  <c r="C107" i="9"/>
  <c r="B107" i="9"/>
  <c r="Y106" i="9"/>
  <c r="V106" i="9"/>
  <c r="U106" i="9"/>
  <c r="T106" i="9"/>
  <c r="Q106" i="9"/>
  <c r="M106" i="9"/>
  <c r="L106" i="9"/>
  <c r="K106" i="9"/>
  <c r="I106" i="9"/>
  <c r="H106" i="9"/>
  <c r="G106" i="9"/>
  <c r="F106" i="9"/>
  <c r="E106" i="9"/>
  <c r="D106" i="9"/>
  <c r="C106" i="9"/>
  <c r="B106" i="9"/>
  <c r="Y105" i="9"/>
  <c r="U105" i="9"/>
  <c r="T105" i="9"/>
  <c r="Q105" i="9"/>
  <c r="M105" i="9"/>
  <c r="L105" i="9"/>
  <c r="V105" i="9" s="1"/>
  <c r="K105" i="9"/>
  <c r="I105" i="9"/>
  <c r="H105" i="9"/>
  <c r="G105" i="9"/>
  <c r="F105" i="9"/>
  <c r="E105" i="9"/>
  <c r="D105" i="9"/>
  <c r="C105" i="9"/>
  <c r="B105" i="9"/>
  <c r="Y104" i="9"/>
  <c r="V104" i="9"/>
  <c r="U104" i="9"/>
  <c r="T104" i="9"/>
  <c r="Q104" i="9"/>
  <c r="M104" i="9"/>
  <c r="L104" i="9"/>
  <c r="K104" i="9"/>
  <c r="I104" i="9"/>
  <c r="H104" i="9"/>
  <c r="G104" i="9"/>
  <c r="F104" i="9"/>
  <c r="E104" i="9"/>
  <c r="D104" i="9"/>
  <c r="C104" i="9"/>
  <c r="B104" i="9"/>
  <c r="Y103" i="9"/>
  <c r="V103" i="9"/>
  <c r="U103" i="9"/>
  <c r="T103" i="9"/>
  <c r="Q103" i="9"/>
  <c r="M103" i="9"/>
  <c r="L103" i="9"/>
  <c r="K103" i="9"/>
  <c r="I103" i="9"/>
  <c r="H103" i="9"/>
  <c r="G103" i="9"/>
  <c r="F103" i="9"/>
  <c r="E103" i="9"/>
  <c r="D103" i="9"/>
  <c r="C103" i="9"/>
  <c r="B103" i="9"/>
  <c r="Y102" i="9"/>
  <c r="V102" i="9"/>
  <c r="U102" i="9"/>
  <c r="T102" i="9"/>
  <c r="Q102" i="9"/>
  <c r="M102" i="9"/>
  <c r="L102" i="9"/>
  <c r="K102" i="9"/>
  <c r="I102" i="9"/>
  <c r="H102" i="9"/>
  <c r="G102" i="9"/>
  <c r="F102" i="9"/>
  <c r="E102" i="9"/>
  <c r="D102" i="9"/>
  <c r="C102" i="9"/>
  <c r="B102" i="9"/>
  <c r="Y101" i="9"/>
  <c r="U101" i="9"/>
  <c r="T101" i="9"/>
  <c r="Q101" i="9"/>
  <c r="M101" i="9"/>
  <c r="L101" i="9"/>
  <c r="V101" i="9" s="1"/>
  <c r="K101" i="9"/>
  <c r="I101" i="9"/>
  <c r="H101" i="9"/>
  <c r="G101" i="9"/>
  <c r="F101" i="9"/>
  <c r="E101" i="9"/>
  <c r="D101" i="9"/>
  <c r="C101" i="9"/>
  <c r="B101" i="9"/>
  <c r="Y100" i="9"/>
  <c r="V100" i="9"/>
  <c r="U100" i="9"/>
  <c r="T100" i="9"/>
  <c r="Q100" i="9"/>
  <c r="M100" i="9"/>
  <c r="L100" i="9"/>
  <c r="K100" i="9"/>
  <c r="I100" i="9"/>
  <c r="H100" i="9"/>
  <c r="G100" i="9"/>
  <c r="F100" i="9"/>
  <c r="E100" i="9"/>
  <c r="D100" i="9"/>
  <c r="C100" i="9"/>
  <c r="B100" i="9"/>
  <c r="Y99" i="9"/>
  <c r="V99" i="9"/>
  <c r="U99" i="9"/>
  <c r="T99" i="9"/>
  <c r="Q99" i="9"/>
  <c r="M99" i="9"/>
  <c r="L99" i="9"/>
  <c r="K99" i="9"/>
  <c r="I99" i="9"/>
  <c r="H99" i="9"/>
  <c r="G99" i="9"/>
  <c r="F99" i="9"/>
  <c r="E99" i="9"/>
  <c r="D99" i="9"/>
  <c r="C99" i="9"/>
  <c r="B99" i="9"/>
  <c r="Y98" i="9"/>
  <c r="V98" i="9"/>
  <c r="U98" i="9"/>
  <c r="T98" i="9"/>
  <c r="Q98" i="9"/>
  <c r="M98" i="9"/>
  <c r="L98" i="9"/>
  <c r="K98" i="9"/>
  <c r="I98" i="9"/>
  <c r="H98" i="9"/>
  <c r="G98" i="9"/>
  <c r="F98" i="9"/>
  <c r="E98" i="9"/>
  <c r="D98" i="9"/>
  <c r="C98" i="9"/>
  <c r="B98" i="9"/>
  <c r="Y97" i="9"/>
  <c r="U97" i="9"/>
  <c r="T97" i="9"/>
  <c r="Q97" i="9"/>
  <c r="M97" i="9"/>
  <c r="L97" i="9"/>
  <c r="V97" i="9" s="1"/>
  <c r="K97" i="9"/>
  <c r="I97" i="9"/>
  <c r="H97" i="9"/>
  <c r="G97" i="9"/>
  <c r="F97" i="9"/>
  <c r="E97" i="9"/>
  <c r="D97" i="9"/>
  <c r="C97" i="9"/>
  <c r="B97" i="9"/>
  <c r="Y96" i="9"/>
  <c r="V96" i="9"/>
  <c r="U96" i="9"/>
  <c r="T96" i="9"/>
  <c r="Q96" i="9"/>
  <c r="M96" i="9"/>
  <c r="L96" i="9"/>
  <c r="K96" i="9"/>
  <c r="I96" i="9"/>
  <c r="H96" i="9"/>
  <c r="G96" i="9"/>
  <c r="F96" i="9"/>
  <c r="E96" i="9"/>
  <c r="D96" i="9"/>
  <c r="C96" i="9"/>
  <c r="B96" i="9"/>
  <c r="Y95" i="9"/>
  <c r="V95" i="9"/>
  <c r="U95" i="9"/>
  <c r="T95" i="9"/>
  <c r="Q95" i="9"/>
  <c r="M95" i="9"/>
  <c r="L95" i="9"/>
  <c r="K95" i="9"/>
  <c r="I95" i="9"/>
  <c r="H95" i="9"/>
  <c r="G95" i="9"/>
  <c r="F95" i="9"/>
  <c r="E95" i="9"/>
  <c r="D95" i="9"/>
  <c r="C95" i="9"/>
  <c r="B95" i="9"/>
  <c r="Y94" i="9"/>
  <c r="V94" i="9"/>
  <c r="U94" i="9"/>
  <c r="T94" i="9"/>
  <c r="Q94" i="9"/>
  <c r="M94" i="9"/>
  <c r="L94" i="9"/>
  <c r="K94" i="9"/>
  <c r="I94" i="9"/>
  <c r="H94" i="9"/>
  <c r="G94" i="9"/>
  <c r="F94" i="9"/>
  <c r="E94" i="9"/>
  <c r="D94" i="9"/>
  <c r="C94" i="9"/>
  <c r="B94" i="9"/>
  <c r="Y93" i="9"/>
  <c r="V93" i="9"/>
  <c r="U93" i="9"/>
  <c r="T93" i="9"/>
  <c r="Q93" i="9"/>
  <c r="M93" i="9"/>
  <c r="L93" i="9"/>
  <c r="K93" i="9"/>
  <c r="I93" i="9"/>
  <c r="H93" i="9"/>
  <c r="G93" i="9"/>
  <c r="F93" i="9"/>
  <c r="E93" i="9"/>
  <c r="D93" i="9"/>
  <c r="C93" i="9"/>
  <c r="B93" i="9"/>
  <c r="Y92" i="9"/>
  <c r="V92" i="9"/>
  <c r="U92" i="9"/>
  <c r="T92" i="9"/>
  <c r="Q92" i="9"/>
  <c r="M92" i="9"/>
  <c r="L92" i="9"/>
  <c r="K92" i="9"/>
  <c r="I92" i="9"/>
  <c r="H92" i="9"/>
  <c r="G92" i="9"/>
  <c r="F92" i="9"/>
  <c r="E92" i="9"/>
  <c r="D92" i="9"/>
  <c r="C92" i="9"/>
  <c r="B92" i="9"/>
  <c r="Y91" i="9"/>
  <c r="U91" i="9"/>
  <c r="T91" i="9"/>
  <c r="Q91" i="9"/>
  <c r="M91" i="9"/>
  <c r="L91" i="9"/>
  <c r="V91" i="9" s="1"/>
  <c r="K91" i="9"/>
  <c r="I91" i="9"/>
  <c r="H91" i="9"/>
  <c r="G91" i="9"/>
  <c r="F91" i="9"/>
  <c r="E91" i="9"/>
  <c r="D91" i="9"/>
  <c r="C91" i="9"/>
  <c r="B91" i="9"/>
  <c r="Y90" i="9"/>
  <c r="V90" i="9"/>
  <c r="U90" i="9"/>
  <c r="T90" i="9"/>
  <c r="Q90" i="9"/>
  <c r="M90" i="9"/>
  <c r="L90" i="9"/>
  <c r="K90" i="9"/>
  <c r="I90" i="9"/>
  <c r="H90" i="9"/>
  <c r="G90" i="9"/>
  <c r="F90" i="9"/>
  <c r="E90" i="9"/>
  <c r="D90" i="9"/>
  <c r="C90" i="9"/>
  <c r="B90" i="9"/>
  <c r="Y89" i="9"/>
  <c r="V89" i="9"/>
  <c r="U89" i="9"/>
  <c r="T89" i="9"/>
  <c r="Q89" i="9"/>
  <c r="M89" i="9"/>
  <c r="L89" i="9"/>
  <c r="K89" i="9"/>
  <c r="I89" i="9"/>
  <c r="H89" i="9"/>
  <c r="G89" i="9"/>
  <c r="F89" i="9"/>
  <c r="E89" i="9"/>
  <c r="D89" i="9"/>
  <c r="C89" i="9"/>
  <c r="B89" i="9"/>
  <c r="Y88" i="9"/>
  <c r="V88" i="9"/>
  <c r="U88" i="9"/>
  <c r="T88" i="9"/>
  <c r="Q88" i="9"/>
  <c r="M88" i="9"/>
  <c r="L88" i="9"/>
  <c r="K88" i="9"/>
  <c r="I88" i="9"/>
  <c r="H88" i="9"/>
  <c r="G88" i="9"/>
  <c r="F88" i="9"/>
  <c r="E88" i="9"/>
  <c r="D88" i="9"/>
  <c r="C88" i="9"/>
  <c r="B88" i="9"/>
  <c r="Y87" i="9"/>
  <c r="V87" i="9"/>
  <c r="U87" i="9"/>
  <c r="T87" i="9"/>
  <c r="Q87" i="9"/>
  <c r="M87" i="9"/>
  <c r="L87" i="9"/>
  <c r="K87" i="9"/>
  <c r="I87" i="9"/>
  <c r="H87" i="9"/>
  <c r="G87" i="9"/>
  <c r="F87" i="9"/>
  <c r="E87" i="9"/>
  <c r="D87" i="9"/>
  <c r="C87" i="9"/>
  <c r="B87" i="9"/>
  <c r="Y86" i="9"/>
  <c r="V86" i="9"/>
  <c r="U86" i="9"/>
  <c r="T86" i="9"/>
  <c r="Q86" i="9"/>
  <c r="M86" i="9"/>
  <c r="L86" i="9"/>
  <c r="K86" i="9"/>
  <c r="I86" i="9"/>
  <c r="H86" i="9"/>
  <c r="G86" i="9"/>
  <c r="F86" i="9"/>
  <c r="E86" i="9"/>
  <c r="D86" i="9"/>
  <c r="C86" i="9"/>
  <c r="B86" i="9"/>
  <c r="Y85" i="9"/>
  <c r="V85" i="9"/>
  <c r="U85" i="9"/>
  <c r="T85" i="9"/>
  <c r="Q85" i="9"/>
  <c r="M85" i="9"/>
  <c r="L85" i="9"/>
  <c r="K85" i="9"/>
  <c r="I85" i="9"/>
  <c r="H85" i="9"/>
  <c r="G85" i="9"/>
  <c r="F85" i="9"/>
  <c r="E85" i="9"/>
  <c r="D85" i="9"/>
  <c r="C85" i="9"/>
  <c r="B85" i="9"/>
  <c r="Y84" i="9"/>
  <c r="V84" i="9"/>
  <c r="U84" i="9"/>
  <c r="T84" i="9"/>
  <c r="Q84" i="9"/>
  <c r="M84" i="9"/>
  <c r="L84" i="9"/>
  <c r="K84" i="9"/>
  <c r="I84" i="9"/>
  <c r="H84" i="9"/>
  <c r="G84" i="9"/>
  <c r="F84" i="9"/>
  <c r="E84" i="9"/>
  <c r="D84" i="9"/>
  <c r="C84" i="9"/>
  <c r="B84" i="9"/>
  <c r="Y83" i="9"/>
  <c r="U83" i="9"/>
  <c r="T83" i="9"/>
  <c r="Q83" i="9"/>
  <c r="M83" i="9"/>
  <c r="L83" i="9"/>
  <c r="V83" i="9" s="1"/>
  <c r="K83" i="9"/>
  <c r="I83" i="9"/>
  <c r="H83" i="9"/>
  <c r="G83" i="9"/>
  <c r="F83" i="9"/>
  <c r="E83" i="9"/>
  <c r="D83" i="9"/>
  <c r="C83" i="9"/>
  <c r="B83" i="9"/>
  <c r="Y82" i="9"/>
  <c r="V82" i="9"/>
  <c r="U82" i="9"/>
  <c r="T82" i="9"/>
  <c r="Q82" i="9"/>
  <c r="M82" i="9"/>
  <c r="L82" i="9"/>
  <c r="K82" i="9"/>
  <c r="I82" i="9"/>
  <c r="H82" i="9"/>
  <c r="G82" i="9"/>
  <c r="F82" i="9"/>
  <c r="E82" i="9"/>
  <c r="D82" i="9"/>
  <c r="C82" i="9"/>
  <c r="B82" i="9"/>
  <c r="Y81" i="9"/>
  <c r="V81" i="9"/>
  <c r="U81" i="9"/>
  <c r="T81" i="9"/>
  <c r="Q81" i="9"/>
  <c r="M81" i="9"/>
  <c r="L81" i="9"/>
  <c r="K81" i="9"/>
  <c r="I81" i="9"/>
  <c r="H81" i="9"/>
  <c r="G81" i="9"/>
  <c r="F81" i="9"/>
  <c r="E81" i="9"/>
  <c r="D81" i="9"/>
  <c r="C81" i="9"/>
  <c r="B81" i="9"/>
  <c r="Y80" i="9"/>
  <c r="V80" i="9"/>
  <c r="U80" i="9"/>
  <c r="T80" i="9"/>
  <c r="Q80" i="9"/>
  <c r="M80" i="9"/>
  <c r="L80" i="9"/>
  <c r="K80" i="9"/>
  <c r="I80" i="9"/>
  <c r="H80" i="9"/>
  <c r="G80" i="9"/>
  <c r="F80" i="9"/>
  <c r="E80" i="9"/>
  <c r="D80" i="9"/>
  <c r="C80" i="9"/>
  <c r="B80" i="9"/>
  <c r="Y79" i="9"/>
  <c r="U79" i="9"/>
  <c r="T79" i="9"/>
  <c r="Q79" i="9"/>
  <c r="M79" i="9"/>
  <c r="L79" i="9"/>
  <c r="K79" i="9"/>
  <c r="I79" i="9"/>
  <c r="H79" i="9"/>
  <c r="G79" i="9"/>
  <c r="F79" i="9"/>
  <c r="E79" i="9"/>
  <c r="D79" i="9"/>
  <c r="C79" i="9"/>
  <c r="B79" i="9"/>
  <c r="Y78" i="9"/>
  <c r="V78" i="9"/>
  <c r="U78" i="9"/>
  <c r="T78" i="9"/>
  <c r="Q78" i="9"/>
  <c r="M78" i="9"/>
  <c r="L78" i="9"/>
  <c r="K78" i="9"/>
  <c r="I78" i="9"/>
  <c r="H78" i="9"/>
  <c r="G78" i="9"/>
  <c r="F78" i="9"/>
  <c r="E78" i="9"/>
  <c r="D78" i="9"/>
  <c r="C78" i="9"/>
  <c r="B78" i="9"/>
  <c r="Y77" i="9"/>
  <c r="V77" i="9"/>
  <c r="U77" i="9"/>
  <c r="T77" i="9"/>
  <c r="Q77" i="9"/>
  <c r="M77" i="9"/>
  <c r="L77" i="9"/>
  <c r="K77" i="9"/>
  <c r="I77" i="9"/>
  <c r="H77" i="9"/>
  <c r="G77" i="9"/>
  <c r="F77" i="9"/>
  <c r="E77" i="9"/>
  <c r="D77" i="9"/>
  <c r="C77" i="9"/>
  <c r="B77" i="9"/>
  <c r="Y76" i="9"/>
  <c r="V76" i="9"/>
  <c r="U76" i="9"/>
  <c r="T76" i="9"/>
  <c r="Q76" i="9"/>
  <c r="M76" i="9"/>
  <c r="L76" i="9"/>
  <c r="K76" i="9"/>
  <c r="I76" i="9"/>
  <c r="H76" i="9"/>
  <c r="G76" i="9"/>
  <c r="F76" i="9"/>
  <c r="E76" i="9"/>
  <c r="D76" i="9"/>
  <c r="C76" i="9"/>
  <c r="B76" i="9"/>
  <c r="Y75" i="9"/>
  <c r="V75" i="9"/>
  <c r="U75" i="9"/>
  <c r="T75" i="9"/>
  <c r="Q75" i="9"/>
  <c r="M75" i="9"/>
  <c r="L75" i="9"/>
  <c r="K75" i="9"/>
  <c r="I75" i="9"/>
  <c r="H75" i="9"/>
  <c r="G75" i="9"/>
  <c r="F75" i="9"/>
  <c r="E75" i="9"/>
  <c r="D75" i="9"/>
  <c r="C75" i="9"/>
  <c r="B75" i="9"/>
  <c r="Y74" i="9"/>
  <c r="V74" i="9"/>
  <c r="U74" i="9"/>
  <c r="T74" i="9"/>
  <c r="Q74" i="9"/>
  <c r="M74" i="9"/>
  <c r="L74" i="9"/>
  <c r="K74" i="9"/>
  <c r="I74" i="9"/>
  <c r="H74" i="9"/>
  <c r="G74" i="9"/>
  <c r="F74" i="9"/>
  <c r="E74" i="9"/>
  <c r="D74" i="9"/>
  <c r="C74" i="9"/>
  <c r="B74" i="9"/>
  <c r="Y73" i="9"/>
  <c r="U73" i="9"/>
  <c r="T73" i="9"/>
  <c r="Q73" i="9"/>
  <c r="M73" i="9"/>
  <c r="L73" i="9"/>
  <c r="K73" i="9"/>
  <c r="I73" i="9"/>
  <c r="H73" i="9"/>
  <c r="G73" i="9"/>
  <c r="F73" i="9"/>
  <c r="E73" i="9"/>
  <c r="D73" i="9"/>
  <c r="C73" i="9"/>
  <c r="B73" i="9"/>
  <c r="Y72" i="9"/>
  <c r="V72" i="9"/>
  <c r="U72" i="9"/>
  <c r="T72" i="9"/>
  <c r="Q72" i="9"/>
  <c r="M72" i="9"/>
  <c r="L72" i="9"/>
  <c r="K72" i="9"/>
  <c r="I72" i="9"/>
  <c r="H72" i="9"/>
  <c r="G72" i="9"/>
  <c r="F72" i="9"/>
  <c r="E72" i="9"/>
  <c r="D72" i="9"/>
  <c r="C72" i="9"/>
  <c r="B72" i="9"/>
  <c r="Y71" i="9"/>
  <c r="U71" i="9"/>
  <c r="T71" i="9"/>
  <c r="Q71" i="9"/>
  <c r="M71" i="9"/>
  <c r="L71" i="9"/>
  <c r="V71" i="9" s="1"/>
  <c r="K71" i="9"/>
  <c r="I71" i="9"/>
  <c r="H71" i="9"/>
  <c r="G71" i="9"/>
  <c r="F71" i="9"/>
  <c r="E71" i="9"/>
  <c r="D71" i="9"/>
  <c r="C71" i="9"/>
  <c r="B71" i="9"/>
  <c r="Y70" i="9"/>
  <c r="V70" i="9"/>
  <c r="U70" i="9"/>
  <c r="T70" i="9"/>
  <c r="Q70" i="9"/>
  <c r="M70" i="9"/>
  <c r="L70" i="9"/>
  <c r="K70" i="9"/>
  <c r="I70" i="9"/>
  <c r="H70" i="9"/>
  <c r="G70" i="9"/>
  <c r="F70" i="9"/>
  <c r="E70" i="9"/>
  <c r="D70" i="9"/>
  <c r="C70" i="9"/>
  <c r="B70" i="9"/>
  <c r="Y69" i="9"/>
  <c r="V69" i="9"/>
  <c r="U69" i="9"/>
  <c r="T69" i="9"/>
  <c r="Q69" i="9"/>
  <c r="M69" i="9"/>
  <c r="L69" i="9"/>
  <c r="K69" i="9"/>
  <c r="I69" i="9"/>
  <c r="H69" i="9"/>
  <c r="G69" i="9"/>
  <c r="F69" i="9"/>
  <c r="E69" i="9"/>
  <c r="D69" i="9"/>
  <c r="C69" i="9"/>
  <c r="B69" i="9"/>
  <c r="Y68" i="9"/>
  <c r="V68" i="9"/>
  <c r="U68" i="9"/>
  <c r="T68" i="9"/>
  <c r="Q68" i="9"/>
  <c r="M68" i="9"/>
  <c r="L68" i="9"/>
  <c r="K68" i="9"/>
  <c r="I68" i="9"/>
  <c r="H68" i="9"/>
  <c r="G68" i="9"/>
  <c r="F68" i="9"/>
  <c r="E68" i="9"/>
  <c r="D68" i="9"/>
  <c r="C68" i="9"/>
  <c r="B68" i="9"/>
  <c r="Y67" i="9"/>
  <c r="U67" i="9"/>
  <c r="T67" i="9"/>
  <c r="Q67" i="9"/>
  <c r="M67" i="9"/>
  <c r="L67" i="9"/>
  <c r="V67" i="9" s="1"/>
  <c r="K67" i="9"/>
  <c r="I67" i="9"/>
  <c r="H67" i="9"/>
  <c r="G67" i="9"/>
  <c r="F67" i="9"/>
  <c r="E67" i="9"/>
  <c r="D67" i="9"/>
  <c r="C67" i="9"/>
  <c r="B67" i="9"/>
  <c r="Y66" i="9"/>
  <c r="V66" i="9"/>
  <c r="U66" i="9"/>
  <c r="T66" i="9"/>
  <c r="Q66" i="9"/>
  <c r="M66" i="9"/>
  <c r="L66" i="9"/>
  <c r="K66" i="9"/>
  <c r="I66" i="9"/>
  <c r="H66" i="9"/>
  <c r="G66" i="9"/>
  <c r="F66" i="9"/>
  <c r="E66" i="9"/>
  <c r="D66" i="9"/>
  <c r="C66" i="9"/>
  <c r="B66" i="9"/>
  <c r="Y65" i="9"/>
  <c r="U65" i="9"/>
  <c r="T65" i="9"/>
  <c r="Q65" i="9"/>
  <c r="M65" i="9"/>
  <c r="L65" i="9"/>
  <c r="V65" i="9" s="1"/>
  <c r="K65" i="9"/>
  <c r="I65" i="9"/>
  <c r="H65" i="9"/>
  <c r="G65" i="9"/>
  <c r="F65" i="9"/>
  <c r="E65" i="9"/>
  <c r="D65" i="9"/>
  <c r="C65" i="9"/>
  <c r="B65" i="9"/>
  <c r="Y64" i="9"/>
  <c r="V64" i="9"/>
  <c r="U64" i="9"/>
  <c r="T64" i="9"/>
  <c r="Q64" i="9"/>
  <c r="M64" i="9"/>
  <c r="L64" i="9"/>
  <c r="K64" i="9"/>
  <c r="I64" i="9"/>
  <c r="H64" i="9"/>
  <c r="G64" i="9"/>
  <c r="F64" i="9"/>
  <c r="E64" i="9"/>
  <c r="D64" i="9"/>
  <c r="C64" i="9"/>
  <c r="B64" i="9"/>
  <c r="Y63" i="9"/>
  <c r="U63" i="9"/>
  <c r="T63" i="9"/>
  <c r="Q63" i="9"/>
  <c r="M63" i="9"/>
  <c r="L63" i="9"/>
  <c r="V63" i="9" s="1"/>
  <c r="K63" i="9"/>
  <c r="I63" i="9"/>
  <c r="H63" i="9"/>
  <c r="G63" i="9"/>
  <c r="F63" i="9"/>
  <c r="E63" i="9"/>
  <c r="D63" i="9"/>
  <c r="C63" i="9"/>
  <c r="B63" i="9"/>
  <c r="Y62" i="9"/>
  <c r="V62" i="9"/>
  <c r="U62" i="9"/>
  <c r="T62" i="9"/>
  <c r="Q62" i="9"/>
  <c r="M62" i="9"/>
  <c r="L62" i="9"/>
  <c r="K62" i="9"/>
  <c r="I62" i="9"/>
  <c r="H62" i="9"/>
  <c r="G62" i="9"/>
  <c r="F62" i="9"/>
  <c r="E62" i="9"/>
  <c r="D62" i="9"/>
  <c r="C62" i="9"/>
  <c r="B62" i="9"/>
  <c r="Y61" i="9"/>
  <c r="V61" i="9"/>
  <c r="U61" i="9"/>
  <c r="T61" i="9"/>
  <c r="Q61" i="9"/>
  <c r="M61" i="9"/>
  <c r="L61" i="9"/>
  <c r="K61" i="9"/>
  <c r="I61" i="9"/>
  <c r="H61" i="9"/>
  <c r="G61" i="9"/>
  <c r="F61" i="9"/>
  <c r="E61" i="9"/>
  <c r="D61" i="9"/>
  <c r="C61" i="9"/>
  <c r="B61" i="9"/>
  <c r="Y60" i="9"/>
  <c r="V60" i="9"/>
  <c r="U60" i="9"/>
  <c r="T60" i="9"/>
  <c r="Q60" i="9"/>
  <c r="M60" i="9"/>
  <c r="L60" i="9"/>
  <c r="K60" i="9"/>
  <c r="I60" i="9"/>
  <c r="H60" i="9"/>
  <c r="G60" i="9"/>
  <c r="F60" i="9"/>
  <c r="E60" i="9"/>
  <c r="D60" i="9"/>
  <c r="C60" i="9"/>
  <c r="B60" i="9"/>
  <c r="Y59" i="9"/>
  <c r="V59" i="9"/>
  <c r="U59" i="9"/>
  <c r="T59" i="9"/>
  <c r="Q59" i="9"/>
  <c r="M59" i="9"/>
  <c r="L59" i="9"/>
  <c r="K59" i="9"/>
  <c r="I59" i="9"/>
  <c r="H59" i="9"/>
  <c r="G59" i="9"/>
  <c r="F59" i="9"/>
  <c r="E59" i="9"/>
  <c r="D59" i="9"/>
  <c r="C59" i="9"/>
  <c r="B59" i="9"/>
  <c r="Y58" i="9"/>
  <c r="V58" i="9"/>
  <c r="U58" i="9"/>
  <c r="T58" i="9"/>
  <c r="Q58" i="9"/>
  <c r="M58" i="9"/>
  <c r="L58" i="9"/>
  <c r="K58" i="9"/>
  <c r="I58" i="9"/>
  <c r="H58" i="9"/>
  <c r="G58" i="9"/>
  <c r="F58" i="9"/>
  <c r="E58" i="9"/>
  <c r="D58" i="9"/>
  <c r="C58" i="9"/>
  <c r="B58" i="9"/>
  <c r="Y57" i="9"/>
  <c r="U57" i="9"/>
  <c r="T57" i="9"/>
  <c r="Q57" i="9"/>
  <c r="M57" i="9"/>
  <c r="L57" i="9"/>
  <c r="V57" i="9" s="1"/>
  <c r="K57" i="9"/>
  <c r="I57" i="9"/>
  <c r="H57" i="9"/>
  <c r="G57" i="9"/>
  <c r="F57" i="9"/>
  <c r="E57" i="9"/>
  <c r="D57" i="9"/>
  <c r="C57" i="9"/>
  <c r="B57" i="9"/>
  <c r="Y56" i="9"/>
  <c r="V56" i="9"/>
  <c r="U56" i="9"/>
  <c r="T56" i="9"/>
  <c r="Q56" i="9"/>
  <c r="M56" i="9"/>
  <c r="L56" i="9"/>
  <c r="K56" i="9"/>
  <c r="I56" i="9"/>
  <c r="H56" i="9"/>
  <c r="G56" i="9"/>
  <c r="F56" i="9"/>
  <c r="E56" i="9"/>
  <c r="D56" i="9"/>
  <c r="C56" i="9"/>
  <c r="B56" i="9"/>
  <c r="Y55" i="9"/>
  <c r="U55" i="9"/>
  <c r="T55" i="9"/>
  <c r="Q55" i="9"/>
  <c r="M55" i="9"/>
  <c r="L55" i="9"/>
  <c r="V55" i="9" s="1"/>
  <c r="K55" i="9"/>
  <c r="I55" i="9"/>
  <c r="H55" i="9"/>
  <c r="G55" i="9"/>
  <c r="F55" i="9"/>
  <c r="E55" i="9"/>
  <c r="D55" i="9"/>
  <c r="C55" i="9"/>
  <c r="B55" i="9"/>
  <c r="Y54" i="9"/>
  <c r="U54" i="9"/>
  <c r="T54" i="9"/>
  <c r="Q54" i="9"/>
  <c r="M54" i="9"/>
  <c r="L54" i="9"/>
  <c r="V54" i="9" s="1"/>
  <c r="K54" i="9"/>
  <c r="I54" i="9"/>
  <c r="H54" i="9"/>
  <c r="G54" i="9"/>
  <c r="F54" i="9"/>
  <c r="E54" i="9"/>
  <c r="D54" i="9"/>
  <c r="C54" i="9"/>
  <c r="B54" i="9"/>
  <c r="Y53" i="9"/>
  <c r="U53" i="9"/>
  <c r="T53" i="9"/>
  <c r="Q53" i="9"/>
  <c r="M53" i="9"/>
  <c r="L53" i="9"/>
  <c r="V53" i="9" s="1"/>
  <c r="K53" i="9"/>
  <c r="I53" i="9"/>
  <c r="H53" i="9"/>
  <c r="G53" i="9"/>
  <c r="F53" i="9"/>
  <c r="E53" i="9"/>
  <c r="D53" i="9"/>
  <c r="C53" i="9"/>
  <c r="B53" i="9"/>
  <c r="Y52" i="9"/>
  <c r="U52" i="9"/>
  <c r="T52" i="9"/>
  <c r="Q52" i="9"/>
  <c r="M52" i="9"/>
  <c r="L52" i="9"/>
  <c r="V52" i="9" s="1"/>
  <c r="K52" i="9"/>
  <c r="I52" i="9"/>
  <c r="H52" i="9"/>
  <c r="G52" i="9"/>
  <c r="F52" i="9"/>
  <c r="E52" i="9"/>
  <c r="D52" i="9"/>
  <c r="C52" i="9"/>
  <c r="B52" i="9"/>
  <c r="Y51" i="9"/>
  <c r="U51" i="9"/>
  <c r="T51" i="9"/>
  <c r="Q51" i="9"/>
  <c r="M51" i="9"/>
  <c r="L51" i="9"/>
  <c r="K51" i="9"/>
  <c r="I51" i="9"/>
  <c r="H51" i="9"/>
  <c r="G51" i="9"/>
  <c r="F51" i="9"/>
  <c r="E51" i="9"/>
  <c r="D51" i="9"/>
  <c r="C51" i="9"/>
  <c r="B51" i="9"/>
  <c r="Y50" i="9"/>
  <c r="U50" i="9"/>
  <c r="T50" i="9"/>
  <c r="Q50" i="9"/>
  <c r="M50" i="9"/>
  <c r="L50" i="9"/>
  <c r="K50" i="9"/>
  <c r="I50" i="9"/>
  <c r="H50" i="9"/>
  <c r="G50" i="9"/>
  <c r="F50" i="9"/>
  <c r="E50" i="9"/>
  <c r="D50" i="9"/>
  <c r="C50" i="9"/>
  <c r="B50" i="9"/>
  <c r="Y49" i="9"/>
  <c r="U49" i="9"/>
  <c r="T49" i="9"/>
  <c r="Q49" i="9"/>
  <c r="M49" i="9"/>
  <c r="L49" i="9"/>
  <c r="K49" i="9"/>
  <c r="I49" i="9"/>
  <c r="H49" i="9"/>
  <c r="G49" i="9"/>
  <c r="F49" i="9"/>
  <c r="E49" i="9"/>
  <c r="D49" i="9"/>
  <c r="C49" i="9"/>
  <c r="B49" i="9"/>
  <c r="Y48" i="9"/>
  <c r="U48" i="9"/>
  <c r="T48" i="9"/>
  <c r="Q48" i="9"/>
  <c r="M48" i="9"/>
  <c r="L48" i="9"/>
  <c r="K48" i="9"/>
  <c r="I48" i="9"/>
  <c r="H48" i="9"/>
  <c r="G48" i="9"/>
  <c r="F48" i="9"/>
  <c r="E48" i="9"/>
  <c r="D48" i="9"/>
  <c r="C48" i="9"/>
  <c r="B48" i="9"/>
  <c r="Y47" i="9"/>
  <c r="U47" i="9"/>
  <c r="T47" i="9"/>
  <c r="Q47" i="9"/>
  <c r="M47" i="9"/>
  <c r="L47" i="9"/>
  <c r="K47" i="9"/>
  <c r="I47" i="9"/>
  <c r="H47" i="9"/>
  <c r="G47" i="9"/>
  <c r="F47" i="9"/>
  <c r="E47" i="9"/>
  <c r="D47" i="9"/>
  <c r="C47" i="9"/>
  <c r="B47" i="9"/>
  <c r="Y46" i="9"/>
  <c r="U46" i="9"/>
  <c r="T46" i="9"/>
  <c r="Q46" i="9"/>
  <c r="M46" i="9"/>
  <c r="L46" i="9"/>
  <c r="K46" i="9"/>
  <c r="I46" i="9"/>
  <c r="H46" i="9"/>
  <c r="G46" i="9"/>
  <c r="F46" i="9"/>
  <c r="E46" i="9"/>
  <c r="D46" i="9"/>
  <c r="C46" i="9"/>
  <c r="B46" i="9"/>
  <c r="Y45" i="9"/>
  <c r="U45" i="9"/>
  <c r="T45" i="9"/>
  <c r="Q45" i="9"/>
  <c r="M45" i="9"/>
  <c r="L45" i="9"/>
  <c r="K45" i="9"/>
  <c r="I45" i="9"/>
  <c r="H45" i="9"/>
  <c r="G45" i="9"/>
  <c r="F45" i="9"/>
  <c r="E45" i="9"/>
  <c r="D45" i="9"/>
  <c r="C45" i="9"/>
  <c r="B45" i="9"/>
  <c r="Y44" i="9"/>
  <c r="U44" i="9"/>
  <c r="T44" i="9"/>
  <c r="Q44" i="9"/>
  <c r="M44" i="9"/>
  <c r="L44" i="9"/>
  <c r="K44" i="9"/>
  <c r="I44" i="9"/>
  <c r="H44" i="9"/>
  <c r="G44" i="9"/>
  <c r="F44" i="9"/>
  <c r="E44" i="9"/>
  <c r="D44" i="9"/>
  <c r="C44" i="9"/>
  <c r="B44" i="9"/>
  <c r="Y43" i="9"/>
  <c r="U43" i="9"/>
  <c r="T43" i="9"/>
  <c r="Q43" i="9"/>
  <c r="M43" i="9"/>
  <c r="L43" i="9"/>
  <c r="K43" i="9"/>
  <c r="I43" i="9"/>
  <c r="H43" i="9"/>
  <c r="G43" i="9"/>
  <c r="F43" i="9"/>
  <c r="E43" i="9"/>
  <c r="D43" i="9"/>
  <c r="C43" i="9"/>
  <c r="B43" i="9"/>
  <c r="Y42" i="9"/>
  <c r="U42" i="9"/>
  <c r="T42" i="9"/>
  <c r="Q42" i="9"/>
  <c r="M42" i="9"/>
  <c r="L42" i="9"/>
  <c r="K42" i="9"/>
  <c r="I42" i="9"/>
  <c r="H42" i="9"/>
  <c r="G42" i="9"/>
  <c r="F42" i="9"/>
  <c r="E42" i="9"/>
  <c r="D42" i="9"/>
  <c r="C42" i="9"/>
  <c r="B42" i="9"/>
  <c r="Y41" i="9"/>
  <c r="U41" i="9"/>
  <c r="T41" i="9"/>
  <c r="Q41" i="9"/>
  <c r="M41" i="9"/>
  <c r="L41" i="9"/>
  <c r="K41" i="9"/>
  <c r="I41" i="9"/>
  <c r="H41" i="9"/>
  <c r="G41" i="9"/>
  <c r="F41" i="9"/>
  <c r="E41" i="9"/>
  <c r="D41" i="9"/>
  <c r="C41" i="9"/>
  <c r="B41" i="9"/>
  <c r="Y40" i="9"/>
  <c r="U40" i="9"/>
  <c r="T40" i="9"/>
  <c r="Q40" i="9"/>
  <c r="M40" i="9"/>
  <c r="L40" i="9"/>
  <c r="K40" i="9"/>
  <c r="I40" i="9"/>
  <c r="H40" i="9"/>
  <c r="G40" i="9"/>
  <c r="F40" i="9"/>
  <c r="E40" i="9"/>
  <c r="D40" i="9"/>
  <c r="C40" i="9"/>
  <c r="B40" i="9"/>
  <c r="Y39" i="9"/>
  <c r="U39" i="9"/>
  <c r="T39" i="9"/>
  <c r="Q39" i="9"/>
  <c r="M39" i="9"/>
  <c r="L39" i="9"/>
  <c r="K39" i="9"/>
  <c r="I39" i="9"/>
  <c r="H39" i="9"/>
  <c r="G39" i="9"/>
  <c r="F39" i="9"/>
  <c r="E39" i="9"/>
  <c r="D39" i="9"/>
  <c r="C39" i="9"/>
  <c r="B39" i="9"/>
  <c r="Y38" i="9"/>
  <c r="U38" i="9"/>
  <c r="T38" i="9"/>
  <c r="Q38" i="9"/>
  <c r="M38" i="9"/>
  <c r="L38" i="9"/>
  <c r="K38" i="9"/>
  <c r="I38" i="9"/>
  <c r="H38" i="9"/>
  <c r="G38" i="9"/>
  <c r="F38" i="9"/>
  <c r="E38" i="9"/>
  <c r="D38" i="9"/>
  <c r="C38" i="9"/>
  <c r="B38" i="9"/>
  <c r="Y37" i="9"/>
  <c r="U37" i="9"/>
  <c r="T37" i="9"/>
  <c r="Q37" i="9"/>
  <c r="M37" i="9"/>
  <c r="L37" i="9"/>
  <c r="K37" i="9"/>
  <c r="I37" i="9"/>
  <c r="H37" i="9"/>
  <c r="G37" i="9"/>
  <c r="F37" i="9"/>
  <c r="E37" i="9"/>
  <c r="D37" i="9"/>
  <c r="C37" i="9"/>
  <c r="B37" i="9"/>
  <c r="Y36" i="9"/>
  <c r="U36" i="9"/>
  <c r="T36" i="9"/>
  <c r="Q36" i="9"/>
  <c r="M36" i="9"/>
  <c r="L36" i="9"/>
  <c r="K36" i="9"/>
  <c r="I36" i="9"/>
  <c r="H36" i="9"/>
  <c r="G36" i="9"/>
  <c r="F36" i="9"/>
  <c r="E36" i="9"/>
  <c r="D36" i="9"/>
  <c r="C36" i="9"/>
  <c r="B36" i="9"/>
  <c r="Y35" i="9"/>
  <c r="U35" i="9"/>
  <c r="T35" i="9"/>
  <c r="Q35" i="9"/>
  <c r="M35" i="9"/>
  <c r="L35" i="9"/>
  <c r="K35" i="9"/>
  <c r="I35" i="9"/>
  <c r="H35" i="9"/>
  <c r="G35" i="9"/>
  <c r="F35" i="9"/>
  <c r="E35" i="9"/>
  <c r="D35" i="9"/>
  <c r="C35" i="9"/>
  <c r="B35" i="9"/>
  <c r="Y34" i="9"/>
  <c r="U34" i="9"/>
  <c r="T34" i="9"/>
  <c r="Q34" i="9"/>
  <c r="M34" i="9"/>
  <c r="L34" i="9"/>
  <c r="K34" i="9"/>
  <c r="I34" i="9"/>
  <c r="H34" i="9"/>
  <c r="G34" i="9"/>
  <c r="F34" i="9"/>
  <c r="E34" i="9"/>
  <c r="D34" i="9"/>
  <c r="C34" i="9"/>
  <c r="B34" i="9"/>
  <c r="Y33" i="9"/>
  <c r="U33" i="9"/>
  <c r="T33" i="9"/>
  <c r="Q33" i="9"/>
  <c r="M33" i="9"/>
  <c r="L33" i="9"/>
  <c r="V33" i="9" s="1"/>
  <c r="K33" i="9"/>
  <c r="I33" i="9"/>
  <c r="H33" i="9"/>
  <c r="G33" i="9"/>
  <c r="F33" i="9"/>
  <c r="E33" i="9"/>
  <c r="D33" i="9"/>
  <c r="C33" i="9"/>
  <c r="B33" i="9"/>
  <c r="Y32" i="9"/>
  <c r="U32" i="9"/>
  <c r="T32" i="9"/>
  <c r="Q32" i="9"/>
  <c r="M32" i="9"/>
  <c r="L32" i="9"/>
  <c r="V32" i="9" s="1"/>
  <c r="K32" i="9"/>
  <c r="I32" i="9"/>
  <c r="H32" i="9"/>
  <c r="G32" i="9"/>
  <c r="F32" i="9"/>
  <c r="E32" i="9"/>
  <c r="D32" i="9"/>
  <c r="C32" i="9"/>
  <c r="B32" i="9"/>
  <c r="Y31" i="9"/>
  <c r="U31" i="9"/>
  <c r="T31" i="9"/>
  <c r="Q31" i="9"/>
  <c r="M31" i="9"/>
  <c r="L31" i="9"/>
  <c r="V31" i="9" s="1"/>
  <c r="K31" i="9"/>
  <c r="I31" i="9"/>
  <c r="H31" i="9"/>
  <c r="G31" i="9"/>
  <c r="F31" i="9"/>
  <c r="E31" i="9"/>
  <c r="D31" i="9"/>
  <c r="C31" i="9"/>
  <c r="B31" i="9"/>
  <c r="Y30" i="9"/>
  <c r="U30" i="9"/>
  <c r="T30" i="9"/>
  <c r="Q30" i="9"/>
  <c r="M30" i="9"/>
  <c r="L30" i="9"/>
  <c r="V30" i="9" s="1"/>
  <c r="K30" i="9"/>
  <c r="I30" i="9"/>
  <c r="H30" i="9"/>
  <c r="G30" i="9"/>
  <c r="F30" i="9"/>
  <c r="E30" i="9"/>
  <c r="D30" i="9"/>
  <c r="C30" i="9"/>
  <c r="B30" i="9"/>
  <c r="Y29" i="9"/>
  <c r="U29" i="9"/>
  <c r="T29" i="9"/>
  <c r="Q29" i="9"/>
  <c r="M29" i="9"/>
  <c r="L29" i="9"/>
  <c r="V29" i="9" s="1"/>
  <c r="K29" i="9"/>
  <c r="I29" i="9"/>
  <c r="H29" i="9"/>
  <c r="G29" i="9"/>
  <c r="F29" i="9"/>
  <c r="E29" i="9"/>
  <c r="D29" i="9"/>
  <c r="C29" i="9"/>
  <c r="B29" i="9"/>
  <c r="Y28" i="9"/>
  <c r="U28" i="9"/>
  <c r="T28" i="9"/>
  <c r="Q28" i="9"/>
  <c r="M28" i="9"/>
  <c r="L28" i="9"/>
  <c r="V28" i="9" s="1"/>
  <c r="K28" i="9"/>
  <c r="I28" i="9"/>
  <c r="H28" i="9"/>
  <c r="G28" i="9"/>
  <c r="F28" i="9"/>
  <c r="E28" i="9"/>
  <c r="D28" i="9"/>
  <c r="C28" i="9"/>
  <c r="B28" i="9"/>
  <c r="Y27" i="9"/>
  <c r="U27" i="9"/>
  <c r="T27" i="9"/>
  <c r="Q27" i="9"/>
  <c r="M27" i="9"/>
  <c r="L27" i="9"/>
  <c r="V27" i="9" s="1"/>
  <c r="K27" i="9"/>
  <c r="I27" i="9"/>
  <c r="H27" i="9"/>
  <c r="G27" i="9"/>
  <c r="F27" i="9"/>
  <c r="E27" i="9"/>
  <c r="D27" i="9"/>
  <c r="C27" i="9"/>
  <c r="B27" i="9"/>
  <c r="Y26" i="9"/>
  <c r="U26" i="9"/>
  <c r="T26" i="9"/>
  <c r="Q26" i="9"/>
  <c r="M26" i="9"/>
  <c r="L26" i="9"/>
  <c r="V26" i="9" s="1"/>
  <c r="K26" i="9"/>
  <c r="I26" i="9"/>
  <c r="H26" i="9"/>
  <c r="G26" i="9"/>
  <c r="F26" i="9"/>
  <c r="E26" i="9"/>
  <c r="D26" i="9"/>
  <c r="C26" i="9"/>
  <c r="B26" i="9"/>
  <c r="Y25" i="9"/>
  <c r="U25" i="9"/>
  <c r="T25" i="9"/>
  <c r="Q25" i="9"/>
  <c r="M25" i="9"/>
  <c r="L25" i="9"/>
  <c r="V25" i="9" s="1"/>
  <c r="K25" i="9"/>
  <c r="I25" i="9"/>
  <c r="H25" i="9"/>
  <c r="G25" i="9"/>
  <c r="F25" i="9"/>
  <c r="E25" i="9"/>
  <c r="D25" i="9"/>
  <c r="C25" i="9"/>
  <c r="B25" i="9"/>
  <c r="Y24" i="9"/>
  <c r="U24" i="9"/>
  <c r="T24" i="9"/>
  <c r="Q24" i="9"/>
  <c r="M24" i="9"/>
  <c r="L24" i="9"/>
  <c r="V24" i="9" s="1"/>
  <c r="K24" i="9"/>
  <c r="I24" i="9"/>
  <c r="H24" i="9"/>
  <c r="G24" i="9"/>
  <c r="F24" i="9"/>
  <c r="E24" i="9"/>
  <c r="D24" i="9"/>
  <c r="C24" i="9"/>
  <c r="B24" i="9"/>
  <c r="Y23" i="9"/>
  <c r="U23" i="9"/>
  <c r="T23" i="9"/>
  <c r="Q23" i="9"/>
  <c r="M23" i="9"/>
  <c r="L23" i="9"/>
  <c r="V23" i="9" s="1"/>
  <c r="K23" i="9"/>
  <c r="I23" i="9"/>
  <c r="H23" i="9"/>
  <c r="G23" i="9"/>
  <c r="F23" i="9"/>
  <c r="E23" i="9"/>
  <c r="D23" i="9"/>
  <c r="C23" i="9"/>
  <c r="B23" i="9"/>
  <c r="Y22" i="9"/>
  <c r="U22" i="9"/>
  <c r="T22" i="9"/>
  <c r="Q22" i="9"/>
  <c r="M22" i="9"/>
  <c r="L22" i="9"/>
  <c r="V22" i="9" s="1"/>
  <c r="K22" i="9"/>
  <c r="I22" i="9"/>
  <c r="H22" i="9"/>
  <c r="G22" i="9"/>
  <c r="F22" i="9"/>
  <c r="E22" i="9"/>
  <c r="D22" i="9"/>
  <c r="C22" i="9"/>
  <c r="B22" i="9"/>
  <c r="Y21" i="9"/>
  <c r="U21" i="9"/>
  <c r="T21" i="9"/>
  <c r="Q21" i="9"/>
  <c r="M21" i="9"/>
  <c r="L21" i="9"/>
  <c r="V21" i="9" s="1"/>
  <c r="K21" i="9"/>
  <c r="I21" i="9"/>
  <c r="H21" i="9"/>
  <c r="G21" i="9"/>
  <c r="F21" i="9"/>
  <c r="E21" i="9"/>
  <c r="D21" i="9"/>
  <c r="C21" i="9"/>
  <c r="B21" i="9"/>
  <c r="Y20" i="9"/>
  <c r="U20" i="9"/>
  <c r="T20" i="9"/>
  <c r="Q20" i="9"/>
  <c r="M20" i="9"/>
  <c r="L20" i="9"/>
  <c r="V20" i="9" s="1"/>
  <c r="K20" i="9"/>
  <c r="I20" i="9"/>
  <c r="H20" i="9"/>
  <c r="G20" i="9"/>
  <c r="F20" i="9"/>
  <c r="E20" i="9"/>
  <c r="D20" i="9"/>
  <c r="C20" i="9"/>
  <c r="B20" i="9"/>
  <c r="Y19" i="9"/>
  <c r="U19" i="9"/>
  <c r="T19" i="9"/>
  <c r="Q19" i="9"/>
  <c r="M19" i="9"/>
  <c r="L19" i="9"/>
  <c r="V19" i="9" s="1"/>
  <c r="K19" i="9"/>
  <c r="I19" i="9"/>
  <c r="H19" i="9"/>
  <c r="G19" i="9"/>
  <c r="F19" i="9"/>
  <c r="E19" i="9"/>
  <c r="D19" i="9"/>
  <c r="C19" i="9"/>
  <c r="B19" i="9"/>
  <c r="Y18" i="9"/>
  <c r="U18" i="9"/>
  <c r="T18" i="9"/>
  <c r="Q18" i="9"/>
  <c r="M18" i="9"/>
  <c r="L18" i="9"/>
  <c r="V18" i="9" s="1"/>
  <c r="K18" i="9"/>
  <c r="I18" i="9"/>
  <c r="H18" i="9"/>
  <c r="G18" i="9"/>
  <c r="F18" i="9"/>
  <c r="E18" i="9"/>
  <c r="D18" i="9"/>
  <c r="C18" i="9"/>
  <c r="B18" i="9"/>
  <c r="Y17" i="9"/>
  <c r="U17" i="9"/>
  <c r="T17" i="9"/>
  <c r="Q17" i="9"/>
  <c r="M17" i="9"/>
  <c r="L17" i="9"/>
  <c r="V17" i="9" s="1"/>
  <c r="K17" i="9"/>
  <c r="I17" i="9"/>
  <c r="H17" i="9"/>
  <c r="G17" i="9"/>
  <c r="F17" i="9"/>
  <c r="E17" i="9"/>
  <c r="D17" i="9"/>
  <c r="C17" i="9"/>
  <c r="B17" i="9"/>
  <c r="Y16" i="9"/>
  <c r="U16" i="9"/>
  <c r="T16" i="9"/>
  <c r="Q16" i="9"/>
  <c r="M16" i="9"/>
  <c r="L16" i="9"/>
  <c r="V16" i="9" s="1"/>
  <c r="K16" i="9"/>
  <c r="I16" i="9"/>
  <c r="H16" i="9"/>
  <c r="G16" i="9"/>
  <c r="F16" i="9"/>
  <c r="E16" i="9"/>
  <c r="D16" i="9"/>
  <c r="C16" i="9"/>
  <c r="B16" i="9"/>
  <c r="Y15" i="9"/>
  <c r="U15" i="9"/>
  <c r="T15" i="9"/>
  <c r="Q15" i="9"/>
  <c r="M15" i="9"/>
  <c r="L15" i="9"/>
  <c r="V15" i="9" s="1"/>
  <c r="K15" i="9"/>
  <c r="I15" i="9"/>
  <c r="H15" i="9"/>
  <c r="G15" i="9"/>
  <c r="F15" i="9"/>
  <c r="E15" i="9"/>
  <c r="D15" i="9"/>
  <c r="C15" i="9"/>
  <c r="B15" i="9"/>
  <c r="Y14" i="9"/>
  <c r="U14" i="9"/>
  <c r="T14" i="9"/>
  <c r="Q14" i="9"/>
  <c r="M14" i="9"/>
  <c r="L14" i="9"/>
  <c r="V14" i="9" s="1"/>
  <c r="K14" i="9"/>
  <c r="I14" i="9"/>
  <c r="H14" i="9"/>
  <c r="G14" i="9"/>
  <c r="F14" i="9"/>
  <c r="E14" i="9"/>
  <c r="D14" i="9"/>
  <c r="C14" i="9"/>
  <c r="B14" i="9"/>
  <c r="Y13" i="9"/>
  <c r="U13" i="9"/>
  <c r="T13" i="9"/>
  <c r="Q13" i="9"/>
  <c r="M13" i="9"/>
  <c r="L13" i="9"/>
  <c r="V13" i="9" s="1"/>
  <c r="K13" i="9"/>
  <c r="I13" i="9"/>
  <c r="H13" i="9"/>
  <c r="G13" i="9"/>
  <c r="F13" i="9"/>
  <c r="E13" i="9"/>
  <c r="D13" i="9"/>
  <c r="C13" i="9"/>
  <c r="B13" i="9"/>
  <c r="Y12" i="9"/>
  <c r="U12" i="9"/>
  <c r="T12" i="9"/>
  <c r="Q12" i="9"/>
  <c r="M12" i="9"/>
  <c r="L12" i="9"/>
  <c r="V12" i="9" s="1"/>
  <c r="K12" i="9"/>
  <c r="I12" i="9"/>
  <c r="H12" i="9"/>
  <c r="G12" i="9"/>
  <c r="F12" i="9"/>
  <c r="E12" i="9"/>
  <c r="D12" i="9"/>
  <c r="C12" i="9"/>
  <c r="B12" i="9"/>
  <c r="Y11" i="9"/>
  <c r="U11" i="9"/>
  <c r="T11" i="9"/>
  <c r="Q11" i="9"/>
  <c r="M11" i="9"/>
  <c r="L11" i="9"/>
  <c r="V11" i="9" s="1"/>
  <c r="K11" i="9"/>
  <c r="I11" i="9"/>
  <c r="H11" i="9"/>
  <c r="G11" i="9"/>
  <c r="F11" i="9"/>
  <c r="E11" i="9"/>
  <c r="D11" i="9"/>
  <c r="C11" i="9"/>
  <c r="B11" i="9"/>
  <c r="Y10" i="9"/>
  <c r="U10" i="9"/>
  <c r="T10" i="9"/>
  <c r="Q10" i="9"/>
  <c r="M10" i="9"/>
  <c r="L10" i="9"/>
  <c r="V10" i="9" s="1"/>
  <c r="K10" i="9"/>
  <c r="I10" i="9"/>
  <c r="H10" i="9"/>
  <c r="G10" i="9"/>
  <c r="F10" i="9"/>
  <c r="E10" i="9"/>
  <c r="D10" i="9"/>
  <c r="C10" i="9"/>
  <c r="B10" i="9"/>
  <c r="Y9" i="9"/>
  <c r="U9" i="9"/>
  <c r="T9" i="9"/>
  <c r="Q9" i="9"/>
  <c r="M9" i="9"/>
  <c r="L9" i="9"/>
  <c r="V9" i="9" s="1"/>
  <c r="K9" i="9"/>
  <c r="I9" i="9"/>
  <c r="H9" i="9"/>
  <c r="G9" i="9"/>
  <c r="F9" i="9"/>
  <c r="E9" i="9"/>
  <c r="D9" i="9"/>
  <c r="C9" i="9"/>
  <c r="B9" i="9"/>
  <c r="Y8" i="9"/>
  <c r="U8" i="9"/>
  <c r="T8" i="9"/>
  <c r="Q8" i="9"/>
  <c r="M8" i="9"/>
  <c r="L8" i="9"/>
  <c r="V8" i="9" s="1"/>
  <c r="K8" i="9"/>
  <c r="I8" i="9"/>
  <c r="H8" i="9"/>
  <c r="G8" i="9"/>
  <c r="F8" i="9"/>
  <c r="E8" i="9"/>
  <c r="D8" i="9"/>
  <c r="C8" i="9"/>
  <c r="B8" i="9"/>
  <c r="Y7" i="9"/>
  <c r="U7" i="9"/>
  <c r="T7" i="9"/>
  <c r="Q7" i="9"/>
  <c r="M7" i="9"/>
  <c r="L7" i="9"/>
  <c r="V7" i="9" s="1"/>
  <c r="K7" i="9"/>
  <c r="I7" i="9"/>
  <c r="H7" i="9"/>
  <c r="G7" i="9"/>
  <c r="F7" i="9"/>
  <c r="E7" i="9"/>
  <c r="D7" i="9"/>
  <c r="C7" i="9"/>
  <c r="B7" i="9"/>
  <c r="Y6" i="9"/>
  <c r="U6" i="9"/>
  <c r="T6" i="9"/>
  <c r="Q6" i="9"/>
  <c r="M6" i="9"/>
  <c r="L6" i="9"/>
  <c r="V6" i="9" s="1"/>
  <c r="K6" i="9"/>
  <c r="I6" i="9"/>
  <c r="H6" i="9"/>
  <c r="G6" i="9"/>
  <c r="F6" i="9"/>
  <c r="E6" i="9"/>
  <c r="D6" i="9"/>
  <c r="C6" i="9"/>
  <c r="B6" i="9"/>
  <c r="Y5" i="9"/>
  <c r="U5" i="9"/>
  <c r="T5" i="9"/>
  <c r="Q5" i="9"/>
  <c r="M5" i="9"/>
  <c r="L5" i="9"/>
  <c r="V5" i="9" s="1"/>
  <c r="K5" i="9"/>
  <c r="I5" i="9"/>
  <c r="H5" i="9"/>
  <c r="G5" i="9"/>
  <c r="F5" i="9"/>
  <c r="E5" i="9"/>
  <c r="D5" i="9"/>
  <c r="C5" i="9"/>
  <c r="B5" i="9"/>
  <c r="Y4" i="9"/>
  <c r="U4" i="9"/>
  <c r="T4" i="9"/>
  <c r="Q4" i="9"/>
  <c r="M4" i="9"/>
  <c r="L4" i="9"/>
  <c r="V4" i="9" s="1"/>
  <c r="K4" i="9"/>
  <c r="I4" i="9"/>
  <c r="H4" i="9"/>
  <c r="G4" i="9"/>
  <c r="F4" i="9"/>
  <c r="E4" i="9"/>
  <c r="D4" i="9"/>
  <c r="C4" i="9"/>
  <c r="B4" i="9"/>
  <c r="Y3" i="9"/>
  <c r="U3" i="9"/>
  <c r="T3" i="9"/>
  <c r="Q3" i="9"/>
  <c r="M3" i="9"/>
  <c r="L3" i="9"/>
  <c r="V3" i="9" s="1"/>
  <c r="K3" i="9"/>
  <c r="I3" i="9"/>
  <c r="H3" i="9"/>
  <c r="G3" i="9"/>
  <c r="F3" i="9"/>
  <c r="E3" i="9"/>
  <c r="D3" i="9"/>
  <c r="C3" i="9"/>
  <c r="B3" i="9"/>
  <c r="N20" i="8"/>
  <c r="O20" i="8" s="1"/>
  <c r="M20" i="8"/>
  <c r="F20" i="8"/>
  <c r="G20" i="8" s="1"/>
  <c r="E20" i="8"/>
  <c r="N19" i="8"/>
  <c r="O19" i="8" s="1"/>
  <c r="M19" i="8"/>
  <c r="F19" i="8"/>
  <c r="G19" i="8" s="1"/>
  <c r="E19" i="8"/>
  <c r="N18" i="8"/>
  <c r="O18" i="8" s="1"/>
  <c r="M18" i="8"/>
  <c r="F18" i="8"/>
  <c r="G18" i="8" s="1"/>
  <c r="E18" i="8"/>
  <c r="N17" i="8"/>
  <c r="M17" i="8"/>
  <c r="M22" i="8" s="1"/>
  <c r="F17" i="8"/>
  <c r="E17" i="8"/>
  <c r="O16" i="8"/>
  <c r="N16" i="8"/>
  <c r="M16" i="8"/>
  <c r="N22" i="8" s="1"/>
  <c r="O22" i="8" s="1"/>
  <c r="F16" i="8"/>
  <c r="G16" i="8" s="1"/>
  <c r="E16" i="8"/>
  <c r="C10" i="8"/>
  <c r="C11" i="8" s="1"/>
  <c r="B10" i="8"/>
  <c r="B11" i="8" s="1"/>
  <c r="C9" i="8"/>
  <c r="B9" i="8"/>
  <c r="AA46" i="6"/>
  <c r="S180" i="9" s="1"/>
  <c r="V46" i="6"/>
  <c r="U46" i="6"/>
  <c r="O180" i="9" s="1"/>
  <c r="S46" i="6"/>
  <c r="N180" i="9" s="1"/>
  <c r="Q46" i="6"/>
  <c r="M46" i="6"/>
  <c r="J180" i="9" s="1"/>
  <c r="K46" i="6"/>
  <c r="AA45" i="6"/>
  <c r="S179" i="9" s="1"/>
  <c r="V45" i="6"/>
  <c r="P179" i="9" s="1"/>
  <c r="W179" i="9" s="1"/>
  <c r="U45" i="6"/>
  <c r="O179" i="9" s="1"/>
  <c r="S45" i="6"/>
  <c r="N179" i="9" s="1"/>
  <c r="Q45" i="6"/>
  <c r="M45" i="6"/>
  <c r="K45" i="6"/>
  <c r="AA44" i="6"/>
  <c r="S178" i="9" s="1"/>
  <c r="V44" i="6"/>
  <c r="P178" i="9" s="1"/>
  <c r="W178" i="9" s="1"/>
  <c r="U44" i="6"/>
  <c r="O178" i="9" s="1"/>
  <c r="S44" i="6"/>
  <c r="N178" i="9" s="1"/>
  <c r="Q44" i="6"/>
  <c r="M44" i="6"/>
  <c r="J178" i="9" s="1"/>
  <c r="R178" i="9" s="1"/>
  <c r="X178" i="9" s="1"/>
  <c r="K44" i="6"/>
  <c r="AA43" i="6"/>
  <c r="S177" i="9" s="1"/>
  <c r="U43" i="6"/>
  <c r="O177" i="9" s="1"/>
  <c r="S43" i="6"/>
  <c r="Q43" i="6"/>
  <c r="M43" i="6"/>
  <c r="J177" i="9" s="1"/>
  <c r="K43" i="6"/>
  <c r="AA42" i="6"/>
  <c r="S176" i="9" s="1"/>
  <c r="U42" i="6"/>
  <c r="O176" i="9" s="1"/>
  <c r="S42" i="6"/>
  <c r="N176" i="9" s="1"/>
  <c r="Q42" i="6"/>
  <c r="M42" i="6"/>
  <c r="J176" i="9" s="1"/>
  <c r="K42" i="6"/>
  <c r="AA41" i="6"/>
  <c r="S175" i="9" s="1"/>
  <c r="V41" i="6"/>
  <c r="U41" i="6"/>
  <c r="O175" i="9" s="1"/>
  <c r="S41" i="6"/>
  <c r="N175" i="9" s="1"/>
  <c r="Q41" i="6"/>
  <c r="M41" i="6"/>
  <c r="J175" i="9" s="1"/>
  <c r="K41" i="6"/>
  <c r="AA39" i="6"/>
  <c r="S174" i="9" s="1"/>
  <c r="U39" i="6"/>
  <c r="O174" i="9" s="1"/>
  <c r="S39" i="6"/>
  <c r="N174" i="9" s="1"/>
  <c r="Q39" i="6"/>
  <c r="M39" i="6"/>
  <c r="J174" i="9" s="1"/>
  <c r="K39" i="6"/>
  <c r="AA38" i="6"/>
  <c r="S173" i="9" s="1"/>
  <c r="Z38" i="6"/>
  <c r="V38" i="6"/>
  <c r="U38" i="6"/>
  <c r="O173" i="9" s="1"/>
  <c r="S38" i="6"/>
  <c r="N173" i="9" s="1"/>
  <c r="Q38" i="6"/>
  <c r="M38" i="6"/>
  <c r="J173" i="9" s="1"/>
  <c r="K38" i="6"/>
  <c r="AA37" i="6"/>
  <c r="S172" i="9" s="1"/>
  <c r="U37" i="6"/>
  <c r="O172" i="9" s="1"/>
  <c r="S37" i="6"/>
  <c r="N172" i="9" s="1"/>
  <c r="Q37" i="6"/>
  <c r="M37" i="6"/>
  <c r="J172" i="9" s="1"/>
  <c r="K37" i="6"/>
  <c r="AA36" i="6"/>
  <c r="S171" i="9" s="1"/>
  <c r="V36" i="6"/>
  <c r="P171" i="9" s="1"/>
  <c r="W171" i="9" s="1"/>
  <c r="U36" i="6"/>
  <c r="O171" i="9" s="1"/>
  <c r="S36" i="6"/>
  <c r="N171" i="9" s="1"/>
  <c r="Q36" i="6"/>
  <c r="M36" i="6"/>
  <c r="J171" i="9" s="1"/>
  <c r="K36" i="6"/>
  <c r="AA35" i="6"/>
  <c r="S170" i="9" s="1"/>
  <c r="V35" i="6"/>
  <c r="P170" i="9" s="1"/>
  <c r="W170" i="9" s="1"/>
  <c r="U35" i="6"/>
  <c r="O170" i="9" s="1"/>
  <c r="S35" i="6"/>
  <c r="N170" i="9" s="1"/>
  <c r="Q35" i="6"/>
  <c r="M35" i="6"/>
  <c r="J170" i="9" s="1"/>
  <c r="R170" i="9" s="1"/>
  <c r="X170" i="9" s="1"/>
  <c r="K35" i="6"/>
  <c r="AA34" i="6"/>
  <c r="S169" i="9" s="1"/>
  <c r="U34" i="6"/>
  <c r="O169" i="9" s="1"/>
  <c r="S34" i="6"/>
  <c r="N169" i="9" s="1"/>
  <c r="Q34" i="6"/>
  <c r="M34" i="6"/>
  <c r="J169" i="9" s="1"/>
  <c r="K34" i="6"/>
  <c r="AA33" i="6"/>
  <c r="S168" i="9" s="1"/>
  <c r="U33" i="6"/>
  <c r="O168" i="9" s="1"/>
  <c r="S33" i="6"/>
  <c r="N168" i="9" s="1"/>
  <c r="Q33" i="6"/>
  <c r="M33" i="6"/>
  <c r="J168" i="9" s="1"/>
  <c r="K33" i="6"/>
  <c r="AA32" i="6"/>
  <c r="S167" i="9" s="1"/>
  <c r="U32" i="6"/>
  <c r="O167" i="9" s="1"/>
  <c r="S32" i="6"/>
  <c r="N167" i="9" s="1"/>
  <c r="Q32" i="6"/>
  <c r="M32" i="6"/>
  <c r="J167" i="9" s="1"/>
  <c r="K32" i="6"/>
  <c r="AA31" i="6"/>
  <c r="S166" i="9" s="1"/>
  <c r="V31" i="6"/>
  <c r="P166" i="9" s="1"/>
  <c r="W166" i="9" s="1"/>
  <c r="U31" i="6"/>
  <c r="O166" i="9" s="1"/>
  <c r="S31" i="6"/>
  <c r="N166" i="9" s="1"/>
  <c r="Q31" i="6"/>
  <c r="M31" i="6"/>
  <c r="J166" i="9" s="1"/>
  <c r="K31" i="6"/>
  <c r="AA30" i="6"/>
  <c r="S165" i="9" s="1"/>
  <c r="U30" i="6"/>
  <c r="O165" i="9" s="1"/>
  <c r="S30" i="6"/>
  <c r="N165" i="9" s="1"/>
  <c r="Q30" i="6"/>
  <c r="M30" i="6"/>
  <c r="J165" i="9" s="1"/>
  <c r="K30" i="6"/>
  <c r="AA29" i="6"/>
  <c r="S164" i="9" s="1"/>
  <c r="U29" i="6"/>
  <c r="O164" i="9" s="1"/>
  <c r="S29" i="6"/>
  <c r="N164" i="9" s="1"/>
  <c r="Q29" i="6"/>
  <c r="M29" i="6"/>
  <c r="J164" i="9" s="1"/>
  <c r="K29" i="6"/>
  <c r="AA27" i="6"/>
  <c r="S163" i="9" s="1"/>
  <c r="U27" i="6"/>
  <c r="O163" i="9" s="1"/>
  <c r="S27" i="6"/>
  <c r="N163" i="9" s="1"/>
  <c r="Q27" i="6"/>
  <c r="M27" i="6"/>
  <c r="J163" i="9" s="1"/>
  <c r="K27" i="6"/>
  <c r="AA26" i="6"/>
  <c r="S162" i="9" s="1"/>
  <c r="W26" i="6"/>
  <c r="V26" i="6"/>
  <c r="P162" i="9" s="1"/>
  <c r="W162" i="9" s="1"/>
  <c r="U26" i="6"/>
  <c r="O162" i="9" s="1"/>
  <c r="S26" i="6"/>
  <c r="N162" i="9" s="1"/>
  <c r="Q26" i="6"/>
  <c r="M26" i="6"/>
  <c r="J162" i="9" s="1"/>
  <c r="K26" i="6"/>
  <c r="AA25" i="6"/>
  <c r="S161" i="9" s="1"/>
  <c r="V25" i="6"/>
  <c r="P161" i="9" s="1"/>
  <c r="W161" i="9" s="1"/>
  <c r="U25" i="6"/>
  <c r="O161" i="9" s="1"/>
  <c r="S25" i="6"/>
  <c r="N161" i="9" s="1"/>
  <c r="Q25" i="6"/>
  <c r="M25" i="6"/>
  <c r="J161" i="9" s="1"/>
  <c r="K25" i="6"/>
  <c r="AA24" i="6"/>
  <c r="S160" i="9" s="1"/>
  <c r="U24" i="6"/>
  <c r="O160" i="9" s="1"/>
  <c r="S24" i="6"/>
  <c r="N160" i="9" s="1"/>
  <c r="Q24" i="6"/>
  <c r="M24" i="6"/>
  <c r="J160" i="9" s="1"/>
  <c r="K24" i="6"/>
  <c r="AA23" i="6"/>
  <c r="S159" i="9" s="1"/>
  <c r="Z23" i="6"/>
  <c r="V23" i="6"/>
  <c r="P159" i="9" s="1"/>
  <c r="W159" i="9" s="1"/>
  <c r="U23" i="6"/>
  <c r="O159" i="9" s="1"/>
  <c r="S23" i="6"/>
  <c r="N159" i="9" s="1"/>
  <c r="Q23" i="6"/>
  <c r="M23" i="6"/>
  <c r="J159" i="9" s="1"/>
  <c r="R159" i="9" s="1"/>
  <c r="X159" i="9" s="1"/>
  <c r="K23" i="6"/>
  <c r="AA22" i="6"/>
  <c r="S158" i="9" s="1"/>
  <c r="V22" i="6"/>
  <c r="P158" i="9" s="1"/>
  <c r="W158" i="9" s="1"/>
  <c r="U22" i="6"/>
  <c r="O158" i="9" s="1"/>
  <c r="S22" i="6"/>
  <c r="N158" i="9" s="1"/>
  <c r="Q22" i="6"/>
  <c r="M22" i="6"/>
  <c r="J158" i="9" s="1"/>
  <c r="R158" i="9" s="1"/>
  <c r="X158" i="9" s="1"/>
  <c r="K22" i="6"/>
  <c r="AA21" i="6"/>
  <c r="S157" i="9" s="1"/>
  <c r="U21" i="6"/>
  <c r="O157" i="9" s="1"/>
  <c r="S21" i="6"/>
  <c r="N157" i="9" s="1"/>
  <c r="Q21" i="6"/>
  <c r="M21" i="6"/>
  <c r="J157" i="9" s="1"/>
  <c r="K21" i="6"/>
  <c r="AA20" i="6"/>
  <c r="S156" i="9" s="1"/>
  <c r="U20" i="6"/>
  <c r="O156" i="9" s="1"/>
  <c r="S20" i="6"/>
  <c r="N156" i="9" s="1"/>
  <c r="Q20" i="6"/>
  <c r="M20" i="6"/>
  <c r="J156" i="9" s="1"/>
  <c r="K20" i="6"/>
  <c r="AA19" i="6"/>
  <c r="S155" i="9" s="1"/>
  <c r="V19" i="6"/>
  <c r="P155" i="9" s="1"/>
  <c r="U19" i="6"/>
  <c r="O155" i="9" s="1"/>
  <c r="S19" i="6"/>
  <c r="N155" i="9" s="1"/>
  <c r="Q19" i="6"/>
  <c r="M19" i="6"/>
  <c r="J155" i="9" s="1"/>
  <c r="K19" i="6"/>
  <c r="AA18" i="6"/>
  <c r="S154" i="9" s="1"/>
  <c r="U18" i="6"/>
  <c r="O154" i="9" s="1"/>
  <c r="S18" i="6"/>
  <c r="N154" i="9" s="1"/>
  <c r="Q18" i="6"/>
  <c r="M18" i="6"/>
  <c r="J154" i="9" s="1"/>
  <c r="K18" i="6"/>
  <c r="AA17" i="6"/>
  <c r="S153" i="9" s="1"/>
  <c r="U17" i="6"/>
  <c r="O153" i="9" s="1"/>
  <c r="S17" i="6"/>
  <c r="N153" i="9" s="1"/>
  <c r="Q17" i="6"/>
  <c r="M17" i="6"/>
  <c r="J153" i="9" s="1"/>
  <c r="K17" i="6"/>
  <c r="AA15" i="6"/>
  <c r="S152" i="9" s="1"/>
  <c r="V15" i="6"/>
  <c r="P152" i="9" s="1"/>
  <c r="U15" i="6"/>
  <c r="O152" i="9" s="1"/>
  <c r="S15" i="6"/>
  <c r="N152" i="9" s="1"/>
  <c r="Q15" i="6"/>
  <c r="M15" i="6"/>
  <c r="J152" i="9" s="1"/>
  <c r="K15" i="6"/>
  <c r="AA14" i="6"/>
  <c r="S151" i="9" s="1"/>
  <c r="U14" i="6"/>
  <c r="O151" i="9" s="1"/>
  <c r="S14" i="6"/>
  <c r="N151" i="9" s="1"/>
  <c r="Q14" i="6"/>
  <c r="M14" i="6"/>
  <c r="J151" i="9" s="1"/>
  <c r="K14" i="6"/>
  <c r="AA13" i="6"/>
  <c r="S150" i="9" s="1"/>
  <c r="Z13" i="6"/>
  <c r="V13" i="6"/>
  <c r="P150" i="9" s="1"/>
  <c r="U13" i="6"/>
  <c r="O150" i="9" s="1"/>
  <c r="S13" i="6"/>
  <c r="N150" i="9" s="1"/>
  <c r="Q13" i="6"/>
  <c r="M13" i="6"/>
  <c r="J150" i="9" s="1"/>
  <c r="R150" i="9" s="1"/>
  <c r="X150" i="9" s="1"/>
  <c r="K13" i="6"/>
  <c r="AA12" i="6"/>
  <c r="S149" i="9" s="1"/>
  <c r="U12" i="6"/>
  <c r="O149" i="9" s="1"/>
  <c r="S12" i="6"/>
  <c r="N149" i="9" s="1"/>
  <c r="Q12" i="6"/>
  <c r="M12" i="6"/>
  <c r="J149" i="9" s="1"/>
  <c r="K12" i="6"/>
  <c r="AA11" i="6"/>
  <c r="S148" i="9" s="1"/>
  <c r="U11" i="6"/>
  <c r="O148" i="9" s="1"/>
  <c r="S11" i="6"/>
  <c r="N148" i="9" s="1"/>
  <c r="Q11" i="6"/>
  <c r="M11" i="6"/>
  <c r="J148" i="9" s="1"/>
  <c r="K11" i="6"/>
  <c r="AA10" i="6"/>
  <c r="S147" i="9" s="1"/>
  <c r="U10" i="6"/>
  <c r="O147" i="9" s="1"/>
  <c r="S10" i="6"/>
  <c r="N147" i="9" s="1"/>
  <c r="Q10" i="6"/>
  <c r="M10" i="6"/>
  <c r="J147" i="9" s="1"/>
  <c r="K10" i="6"/>
  <c r="AA9" i="6"/>
  <c r="S146" i="9" s="1"/>
  <c r="W9" i="6"/>
  <c r="V9" i="6"/>
  <c r="P146" i="9" s="1"/>
  <c r="U9" i="6"/>
  <c r="O146" i="9" s="1"/>
  <c r="S9" i="6"/>
  <c r="N146" i="9" s="1"/>
  <c r="Q9" i="6"/>
  <c r="M9" i="6"/>
  <c r="J146" i="9" s="1"/>
  <c r="K9" i="6"/>
  <c r="AA8" i="6"/>
  <c r="S145" i="9" s="1"/>
  <c r="V8" i="6"/>
  <c r="P145" i="9" s="1"/>
  <c r="U8" i="6"/>
  <c r="O145" i="9" s="1"/>
  <c r="S8" i="6"/>
  <c r="N145" i="9" s="1"/>
  <c r="Q8" i="6"/>
  <c r="M8" i="6"/>
  <c r="J145" i="9" s="1"/>
  <c r="K8" i="6"/>
  <c r="AA7" i="6"/>
  <c r="S144" i="9" s="1"/>
  <c r="U7" i="6"/>
  <c r="O144" i="9" s="1"/>
  <c r="S7" i="6"/>
  <c r="N144" i="9" s="1"/>
  <c r="Q7" i="6"/>
  <c r="M7" i="6"/>
  <c r="J144" i="9" s="1"/>
  <c r="K7" i="6"/>
  <c r="AA6" i="6"/>
  <c r="S143" i="9" s="1"/>
  <c r="Z6" i="6"/>
  <c r="V6" i="6"/>
  <c r="P143" i="9" s="1"/>
  <c r="W143" i="9" s="1"/>
  <c r="U6" i="6"/>
  <c r="O143" i="9" s="1"/>
  <c r="S6" i="6"/>
  <c r="N143" i="9" s="1"/>
  <c r="Q6" i="6"/>
  <c r="M6" i="6"/>
  <c r="J143" i="9" s="1"/>
  <c r="R143" i="9" s="1"/>
  <c r="X143" i="9" s="1"/>
  <c r="K6" i="6"/>
  <c r="AA5" i="6"/>
  <c r="S142" i="9" s="1"/>
  <c r="V5" i="6"/>
  <c r="P142" i="9" s="1"/>
  <c r="W142" i="9" s="1"/>
  <c r="U5" i="6"/>
  <c r="O142" i="9" s="1"/>
  <c r="S5" i="6"/>
  <c r="N142" i="9" s="1"/>
  <c r="Q5" i="6"/>
  <c r="M5" i="6"/>
  <c r="J142" i="9" s="1"/>
  <c r="R142" i="9" s="1"/>
  <c r="X142" i="9" s="1"/>
  <c r="K5" i="6"/>
  <c r="AA40" i="5"/>
  <c r="S141" i="9" s="1"/>
  <c r="U40" i="5"/>
  <c r="O141" i="9" s="1"/>
  <c r="S40" i="5"/>
  <c r="N141" i="9" s="1"/>
  <c r="Q40" i="5"/>
  <c r="M40" i="5"/>
  <c r="J141" i="9" s="1"/>
  <c r="K40" i="5"/>
  <c r="AA39" i="5"/>
  <c r="S140" i="9" s="1"/>
  <c r="U39" i="5"/>
  <c r="O140" i="9" s="1"/>
  <c r="S39" i="5"/>
  <c r="N140" i="9" s="1"/>
  <c r="Q39" i="5"/>
  <c r="M39" i="5"/>
  <c r="J140" i="9" s="1"/>
  <c r="K39" i="5"/>
  <c r="AA38" i="5"/>
  <c r="S139" i="9" s="1"/>
  <c r="V38" i="5"/>
  <c r="P139" i="9" s="1"/>
  <c r="W139" i="9" s="1"/>
  <c r="U38" i="5"/>
  <c r="O139" i="9" s="1"/>
  <c r="S38" i="5"/>
  <c r="N139" i="9" s="1"/>
  <c r="Q38" i="5"/>
  <c r="M38" i="5"/>
  <c r="J139" i="9" s="1"/>
  <c r="K38" i="5"/>
  <c r="AA37" i="5"/>
  <c r="S138" i="9" s="1"/>
  <c r="U37" i="5"/>
  <c r="O138" i="9" s="1"/>
  <c r="S37" i="5"/>
  <c r="N138" i="9" s="1"/>
  <c r="Q37" i="5"/>
  <c r="M37" i="5"/>
  <c r="J138" i="9" s="1"/>
  <c r="K37" i="5"/>
  <c r="AA36" i="5"/>
  <c r="S137" i="9" s="1"/>
  <c r="U36" i="5"/>
  <c r="O137" i="9" s="1"/>
  <c r="S36" i="5"/>
  <c r="N137" i="9" s="1"/>
  <c r="Q36" i="5"/>
  <c r="M36" i="5"/>
  <c r="J137" i="9" s="1"/>
  <c r="K36" i="5"/>
  <c r="AA35" i="5"/>
  <c r="S136" i="9" s="1"/>
  <c r="V35" i="5"/>
  <c r="P136" i="9" s="1"/>
  <c r="W136" i="9" s="1"/>
  <c r="U35" i="5"/>
  <c r="O136" i="9" s="1"/>
  <c r="S35" i="5"/>
  <c r="N136" i="9" s="1"/>
  <c r="Q35" i="5"/>
  <c r="M35" i="5"/>
  <c r="J136" i="9" s="1"/>
  <c r="K35" i="5"/>
  <c r="AA34" i="5"/>
  <c r="S135" i="9" s="1"/>
  <c r="U34" i="5"/>
  <c r="O135" i="9" s="1"/>
  <c r="S34" i="5"/>
  <c r="N135" i="9" s="1"/>
  <c r="Q34" i="5"/>
  <c r="M34" i="5"/>
  <c r="J135" i="9" s="1"/>
  <c r="K34" i="5"/>
  <c r="AA33" i="5"/>
  <c r="S134" i="9" s="1"/>
  <c r="Z33" i="5"/>
  <c r="V33" i="5"/>
  <c r="P134" i="9" s="1"/>
  <c r="W134" i="9" s="1"/>
  <c r="U33" i="5"/>
  <c r="O134" i="9" s="1"/>
  <c r="S33" i="5"/>
  <c r="N134" i="9" s="1"/>
  <c r="Q33" i="5"/>
  <c r="M33" i="5"/>
  <c r="J134" i="9" s="1"/>
  <c r="R134" i="9" s="1"/>
  <c r="X134" i="9" s="1"/>
  <c r="K33" i="5"/>
  <c r="AA32" i="5"/>
  <c r="S133" i="9" s="1"/>
  <c r="V32" i="5"/>
  <c r="P133" i="9" s="1"/>
  <c r="W133" i="9" s="1"/>
  <c r="U32" i="5"/>
  <c r="O133" i="9" s="1"/>
  <c r="S32" i="5"/>
  <c r="N133" i="9" s="1"/>
  <c r="Q32" i="5"/>
  <c r="M32" i="5"/>
  <c r="J133" i="9" s="1"/>
  <c r="R133" i="9" s="1"/>
  <c r="X133" i="9" s="1"/>
  <c r="K32" i="5"/>
  <c r="AA31" i="5"/>
  <c r="S132" i="9" s="1"/>
  <c r="V31" i="5"/>
  <c r="P132" i="9" s="1"/>
  <c r="W132" i="9" s="1"/>
  <c r="U31" i="5"/>
  <c r="O132" i="9" s="1"/>
  <c r="S31" i="5"/>
  <c r="N132" i="9" s="1"/>
  <c r="Q31" i="5"/>
  <c r="M31" i="5"/>
  <c r="J132" i="9" s="1"/>
  <c r="K31" i="5"/>
  <c r="AA30" i="5"/>
  <c r="S131" i="9" s="1"/>
  <c r="U30" i="5"/>
  <c r="O131" i="9" s="1"/>
  <c r="S30" i="5"/>
  <c r="N131" i="9" s="1"/>
  <c r="Q30" i="5"/>
  <c r="M30" i="5"/>
  <c r="J131" i="9" s="1"/>
  <c r="K30" i="5"/>
  <c r="AA29" i="5"/>
  <c r="S130" i="9" s="1"/>
  <c r="Z29" i="5"/>
  <c r="W29" i="5"/>
  <c r="V29" i="5"/>
  <c r="P130" i="9" s="1"/>
  <c r="W130" i="9" s="1"/>
  <c r="U29" i="5"/>
  <c r="O130" i="9" s="1"/>
  <c r="S29" i="5"/>
  <c r="N130" i="9" s="1"/>
  <c r="Q29" i="5"/>
  <c r="M29" i="5"/>
  <c r="J130" i="9" s="1"/>
  <c r="K29" i="5"/>
  <c r="AA27" i="5"/>
  <c r="S129" i="9" s="1"/>
  <c r="V27" i="5"/>
  <c r="P129" i="9" s="1"/>
  <c r="W129" i="9" s="1"/>
  <c r="U27" i="5"/>
  <c r="O129" i="9" s="1"/>
  <c r="S27" i="5"/>
  <c r="N129" i="9" s="1"/>
  <c r="Q27" i="5"/>
  <c r="M27" i="5"/>
  <c r="J129" i="9" s="1"/>
  <c r="K27" i="5"/>
  <c r="AA26" i="5"/>
  <c r="S128" i="9" s="1"/>
  <c r="U26" i="5"/>
  <c r="O128" i="9" s="1"/>
  <c r="S26" i="5"/>
  <c r="N128" i="9" s="1"/>
  <c r="Q26" i="5"/>
  <c r="M26" i="5"/>
  <c r="J128" i="9" s="1"/>
  <c r="K26" i="5"/>
  <c r="AA25" i="5"/>
  <c r="S127" i="9" s="1"/>
  <c r="Z25" i="5"/>
  <c r="V25" i="5"/>
  <c r="P127" i="9" s="1"/>
  <c r="W127" i="9" s="1"/>
  <c r="U25" i="5"/>
  <c r="O127" i="9" s="1"/>
  <c r="S25" i="5"/>
  <c r="N127" i="9" s="1"/>
  <c r="Q25" i="5"/>
  <c r="M25" i="5"/>
  <c r="J127" i="9" s="1"/>
  <c r="R127" i="9" s="1"/>
  <c r="X127" i="9" s="1"/>
  <c r="K25" i="5"/>
  <c r="AA24" i="5"/>
  <c r="S126" i="9" s="1"/>
  <c r="V24" i="5"/>
  <c r="P126" i="9" s="1"/>
  <c r="W126" i="9" s="1"/>
  <c r="U24" i="5"/>
  <c r="O126" i="9" s="1"/>
  <c r="S24" i="5"/>
  <c r="N126" i="9" s="1"/>
  <c r="Q24" i="5"/>
  <c r="M24" i="5"/>
  <c r="J126" i="9" s="1"/>
  <c r="K24" i="5"/>
  <c r="AA23" i="5"/>
  <c r="S125" i="9" s="1"/>
  <c r="U23" i="5"/>
  <c r="O125" i="9" s="1"/>
  <c r="S23" i="5"/>
  <c r="N125" i="9" s="1"/>
  <c r="Q23" i="5"/>
  <c r="M23" i="5"/>
  <c r="J125" i="9" s="1"/>
  <c r="K23" i="5"/>
  <c r="AA22" i="5"/>
  <c r="S124" i="9" s="1"/>
  <c r="U22" i="5"/>
  <c r="O124" i="9" s="1"/>
  <c r="S22" i="5"/>
  <c r="N124" i="9" s="1"/>
  <c r="Q22" i="5"/>
  <c r="M22" i="5"/>
  <c r="J124" i="9" s="1"/>
  <c r="K22" i="5"/>
  <c r="AA21" i="5"/>
  <c r="S123" i="9" s="1"/>
  <c r="V21" i="5"/>
  <c r="P123" i="9" s="1"/>
  <c r="W123" i="9" s="1"/>
  <c r="U21" i="5"/>
  <c r="O123" i="9" s="1"/>
  <c r="S21" i="5"/>
  <c r="N123" i="9" s="1"/>
  <c r="Q21" i="5"/>
  <c r="M21" i="5"/>
  <c r="J123" i="9" s="1"/>
  <c r="K21" i="5"/>
  <c r="AA20" i="5"/>
  <c r="S122" i="9" s="1"/>
  <c r="U20" i="5"/>
  <c r="O122" i="9" s="1"/>
  <c r="S20" i="5"/>
  <c r="N122" i="9" s="1"/>
  <c r="Q20" i="5"/>
  <c r="M20" i="5"/>
  <c r="J122" i="9" s="1"/>
  <c r="K20" i="5"/>
  <c r="AA19" i="5"/>
  <c r="S121" i="9" s="1"/>
  <c r="U19" i="5"/>
  <c r="O121" i="9" s="1"/>
  <c r="S19" i="5"/>
  <c r="N121" i="9" s="1"/>
  <c r="Q19" i="5"/>
  <c r="M19" i="5"/>
  <c r="J121" i="9" s="1"/>
  <c r="K19" i="5"/>
  <c r="AA18" i="5"/>
  <c r="S120" i="9" s="1"/>
  <c r="V18" i="5"/>
  <c r="P120" i="9" s="1"/>
  <c r="U18" i="5"/>
  <c r="O120" i="9" s="1"/>
  <c r="S18" i="5"/>
  <c r="N120" i="9" s="1"/>
  <c r="Q18" i="5"/>
  <c r="M18" i="5"/>
  <c r="J120" i="9" s="1"/>
  <c r="R120" i="9" s="1"/>
  <c r="X120" i="9" s="1"/>
  <c r="K18" i="5"/>
  <c r="AA17" i="5"/>
  <c r="S119" i="9" s="1"/>
  <c r="U17" i="5"/>
  <c r="O119" i="9" s="1"/>
  <c r="S17" i="5"/>
  <c r="N119" i="9" s="1"/>
  <c r="Q17" i="5"/>
  <c r="M17" i="5"/>
  <c r="J119" i="9" s="1"/>
  <c r="K17" i="5"/>
  <c r="AA15" i="5"/>
  <c r="S118" i="9" s="1"/>
  <c r="U15" i="5"/>
  <c r="O118" i="9" s="1"/>
  <c r="S15" i="5"/>
  <c r="N118" i="9" s="1"/>
  <c r="Q15" i="5"/>
  <c r="M15" i="5"/>
  <c r="J118" i="9" s="1"/>
  <c r="K15" i="5"/>
  <c r="AA14" i="5"/>
  <c r="S117" i="9" s="1"/>
  <c r="V14" i="5"/>
  <c r="P117" i="9" s="1"/>
  <c r="U14" i="5"/>
  <c r="O117" i="9" s="1"/>
  <c r="S14" i="5"/>
  <c r="N117" i="9" s="1"/>
  <c r="Q14" i="5"/>
  <c r="M14" i="5"/>
  <c r="J117" i="9" s="1"/>
  <c r="R117" i="9" s="1"/>
  <c r="X117" i="9" s="1"/>
  <c r="K14" i="5"/>
  <c r="AA13" i="5"/>
  <c r="S116" i="9" s="1"/>
  <c r="V13" i="5"/>
  <c r="P116" i="9" s="1"/>
  <c r="U13" i="5"/>
  <c r="O116" i="9" s="1"/>
  <c r="S13" i="5"/>
  <c r="N116" i="9" s="1"/>
  <c r="Q13" i="5"/>
  <c r="M13" i="5"/>
  <c r="J116" i="9" s="1"/>
  <c r="K13" i="5"/>
  <c r="AA12" i="5"/>
  <c r="S115" i="9" s="1"/>
  <c r="U12" i="5"/>
  <c r="O115" i="9" s="1"/>
  <c r="S12" i="5"/>
  <c r="N115" i="9" s="1"/>
  <c r="Q12" i="5"/>
  <c r="M12" i="5"/>
  <c r="J115" i="9" s="1"/>
  <c r="K12" i="5"/>
  <c r="AA11" i="5"/>
  <c r="S114" i="9" s="1"/>
  <c r="Z11" i="5"/>
  <c r="W11" i="5"/>
  <c r="V11" i="5"/>
  <c r="P114" i="9" s="1"/>
  <c r="U11" i="5"/>
  <c r="O114" i="9" s="1"/>
  <c r="S11" i="5"/>
  <c r="N114" i="9" s="1"/>
  <c r="Q11" i="5"/>
  <c r="M11" i="5"/>
  <c r="J114" i="9" s="1"/>
  <c r="K11" i="5"/>
  <c r="AA10" i="5"/>
  <c r="S113" i="9" s="1"/>
  <c r="V10" i="5"/>
  <c r="P113" i="9" s="1"/>
  <c r="U10" i="5"/>
  <c r="O113" i="9" s="1"/>
  <c r="S10" i="5"/>
  <c r="N113" i="9" s="1"/>
  <c r="Q10" i="5"/>
  <c r="M10" i="5"/>
  <c r="J113" i="9" s="1"/>
  <c r="K10" i="5"/>
  <c r="AA9" i="5"/>
  <c r="S112" i="9" s="1"/>
  <c r="U9" i="5"/>
  <c r="O112" i="9" s="1"/>
  <c r="S9" i="5"/>
  <c r="N112" i="9" s="1"/>
  <c r="Q9" i="5"/>
  <c r="M9" i="5"/>
  <c r="J112" i="9" s="1"/>
  <c r="K9" i="5"/>
  <c r="AA8" i="5"/>
  <c r="S111" i="9" s="1"/>
  <c r="U8" i="5"/>
  <c r="O111" i="9" s="1"/>
  <c r="S8" i="5"/>
  <c r="N111" i="9" s="1"/>
  <c r="Q8" i="5"/>
  <c r="M8" i="5"/>
  <c r="J111" i="9" s="1"/>
  <c r="K8" i="5"/>
  <c r="AA7" i="5"/>
  <c r="S110" i="9" s="1"/>
  <c r="V7" i="5"/>
  <c r="P110" i="9" s="1"/>
  <c r="W110" i="9" s="1"/>
  <c r="U7" i="5"/>
  <c r="O110" i="9" s="1"/>
  <c r="S7" i="5"/>
  <c r="N110" i="9" s="1"/>
  <c r="Q7" i="5"/>
  <c r="M7" i="5"/>
  <c r="J110" i="9" s="1"/>
  <c r="K7" i="5"/>
  <c r="AA6" i="5"/>
  <c r="S109" i="9" s="1"/>
  <c r="U6" i="5"/>
  <c r="O109" i="9" s="1"/>
  <c r="S6" i="5"/>
  <c r="N109" i="9" s="1"/>
  <c r="Q6" i="5"/>
  <c r="M6" i="5"/>
  <c r="J109" i="9" s="1"/>
  <c r="K6" i="5"/>
  <c r="AA5" i="5"/>
  <c r="S108" i="9" s="1"/>
  <c r="U5" i="5"/>
  <c r="O108" i="9" s="1"/>
  <c r="S5" i="5"/>
  <c r="N108" i="9" s="1"/>
  <c r="Q5" i="5"/>
  <c r="M5" i="5"/>
  <c r="J108" i="9" s="1"/>
  <c r="K5" i="5"/>
  <c r="AA75" i="4"/>
  <c r="S107" i="9" s="1"/>
  <c r="V75" i="4"/>
  <c r="P107" i="9" s="1"/>
  <c r="W107" i="9" s="1"/>
  <c r="U75" i="4"/>
  <c r="O107" i="9" s="1"/>
  <c r="S75" i="4"/>
  <c r="N107" i="9" s="1"/>
  <c r="Q75" i="4"/>
  <c r="M75" i="4"/>
  <c r="J107" i="9" s="1"/>
  <c r="K75" i="4"/>
  <c r="AA74" i="4"/>
  <c r="S106" i="9" s="1"/>
  <c r="U74" i="4"/>
  <c r="O106" i="9" s="1"/>
  <c r="S74" i="4"/>
  <c r="N106" i="9" s="1"/>
  <c r="Q74" i="4"/>
  <c r="M74" i="4"/>
  <c r="J106" i="9" s="1"/>
  <c r="K74" i="4"/>
  <c r="AA73" i="4"/>
  <c r="S105" i="9" s="1"/>
  <c r="U73" i="4"/>
  <c r="O105" i="9" s="1"/>
  <c r="S73" i="4"/>
  <c r="N105" i="9" s="1"/>
  <c r="Q73" i="4"/>
  <c r="M73" i="4"/>
  <c r="J105" i="9" s="1"/>
  <c r="K73" i="4"/>
  <c r="AA72" i="4"/>
  <c r="S104" i="9" s="1"/>
  <c r="V72" i="4"/>
  <c r="P104" i="9" s="1"/>
  <c r="W104" i="9" s="1"/>
  <c r="U72" i="4"/>
  <c r="O104" i="9" s="1"/>
  <c r="S72" i="4"/>
  <c r="N104" i="9" s="1"/>
  <c r="Q72" i="4"/>
  <c r="M72" i="4"/>
  <c r="J104" i="9" s="1"/>
  <c r="R104" i="9" s="1"/>
  <c r="X104" i="9" s="1"/>
  <c r="K72" i="4"/>
  <c r="AA71" i="4"/>
  <c r="S103" i="9" s="1"/>
  <c r="U71" i="4"/>
  <c r="O103" i="9" s="1"/>
  <c r="S71" i="4"/>
  <c r="N103" i="9" s="1"/>
  <c r="Q71" i="4"/>
  <c r="M71" i="4"/>
  <c r="J103" i="9" s="1"/>
  <c r="K71" i="4"/>
  <c r="AA70" i="4"/>
  <c r="S102" i="9" s="1"/>
  <c r="U70" i="4"/>
  <c r="O102" i="9" s="1"/>
  <c r="S70" i="4"/>
  <c r="N102" i="9" s="1"/>
  <c r="Q70" i="4"/>
  <c r="M70" i="4"/>
  <c r="J102" i="9" s="1"/>
  <c r="K70" i="4"/>
  <c r="AA69" i="4"/>
  <c r="S101" i="9" s="1"/>
  <c r="V69" i="4"/>
  <c r="P101" i="9" s="1"/>
  <c r="W101" i="9" s="1"/>
  <c r="U69" i="4"/>
  <c r="O101" i="9" s="1"/>
  <c r="S69" i="4"/>
  <c r="N101" i="9" s="1"/>
  <c r="Q69" i="4"/>
  <c r="M69" i="4"/>
  <c r="J101" i="9" s="1"/>
  <c r="R101" i="9" s="1"/>
  <c r="X101" i="9" s="1"/>
  <c r="K69" i="4"/>
  <c r="AA68" i="4"/>
  <c r="S100" i="9" s="1"/>
  <c r="U68" i="4"/>
  <c r="O100" i="9" s="1"/>
  <c r="S68" i="4"/>
  <c r="N100" i="9" s="1"/>
  <c r="Q68" i="4"/>
  <c r="M68" i="4"/>
  <c r="J100" i="9" s="1"/>
  <c r="K68" i="4"/>
  <c r="AA67" i="4"/>
  <c r="S99" i="9" s="1"/>
  <c r="U67" i="4"/>
  <c r="O99" i="9" s="1"/>
  <c r="S67" i="4"/>
  <c r="N99" i="9" s="1"/>
  <c r="Q67" i="4"/>
  <c r="M67" i="4"/>
  <c r="J99" i="9" s="1"/>
  <c r="K67" i="4"/>
  <c r="AA66" i="4"/>
  <c r="S98" i="9" s="1"/>
  <c r="W66" i="4"/>
  <c r="V66" i="4"/>
  <c r="P98" i="9" s="1"/>
  <c r="W98" i="9" s="1"/>
  <c r="U66" i="4"/>
  <c r="O98" i="9" s="1"/>
  <c r="S66" i="4"/>
  <c r="N98" i="9" s="1"/>
  <c r="Q66" i="4"/>
  <c r="M66" i="4"/>
  <c r="J98" i="9" s="1"/>
  <c r="K66" i="4"/>
  <c r="AA65" i="4"/>
  <c r="S97" i="9" s="1"/>
  <c r="V65" i="4"/>
  <c r="P97" i="9" s="1"/>
  <c r="W97" i="9" s="1"/>
  <c r="U65" i="4"/>
  <c r="O97" i="9" s="1"/>
  <c r="S65" i="4"/>
  <c r="N97" i="9" s="1"/>
  <c r="Q65" i="4"/>
  <c r="M65" i="4"/>
  <c r="J97" i="9" s="1"/>
  <c r="R97" i="9" s="1"/>
  <c r="X97" i="9" s="1"/>
  <c r="K65" i="4"/>
  <c r="AA64" i="4"/>
  <c r="S96" i="9" s="1"/>
  <c r="U64" i="4"/>
  <c r="O96" i="9" s="1"/>
  <c r="S64" i="4"/>
  <c r="N96" i="9" s="1"/>
  <c r="Q64" i="4"/>
  <c r="M64" i="4"/>
  <c r="J96" i="9" s="1"/>
  <c r="K64" i="4"/>
  <c r="AA62" i="4"/>
  <c r="S95" i="9" s="1"/>
  <c r="U62" i="4"/>
  <c r="O95" i="9" s="1"/>
  <c r="S62" i="4"/>
  <c r="N95" i="9" s="1"/>
  <c r="Q62" i="4"/>
  <c r="M62" i="4"/>
  <c r="J95" i="9" s="1"/>
  <c r="K62" i="4"/>
  <c r="AA61" i="4"/>
  <c r="S94" i="9" s="1"/>
  <c r="V61" i="4"/>
  <c r="P94" i="9" s="1"/>
  <c r="W94" i="9" s="1"/>
  <c r="U61" i="4"/>
  <c r="O94" i="9" s="1"/>
  <c r="S61" i="4"/>
  <c r="N94" i="9" s="1"/>
  <c r="Q61" i="4"/>
  <c r="M61" i="4"/>
  <c r="J94" i="9" s="1"/>
  <c r="K61" i="4"/>
  <c r="AA60" i="4"/>
  <c r="S93" i="9" s="1"/>
  <c r="U60" i="4"/>
  <c r="O93" i="9" s="1"/>
  <c r="S60" i="4"/>
  <c r="N93" i="9" s="1"/>
  <c r="Q60" i="4"/>
  <c r="M60" i="4"/>
  <c r="J93" i="9" s="1"/>
  <c r="K60" i="4"/>
  <c r="AA59" i="4"/>
  <c r="S92" i="9" s="1"/>
  <c r="U59" i="4"/>
  <c r="O92" i="9" s="1"/>
  <c r="S59" i="4"/>
  <c r="N92" i="9" s="1"/>
  <c r="Q59" i="4"/>
  <c r="M59" i="4"/>
  <c r="J92" i="9" s="1"/>
  <c r="K59" i="4"/>
  <c r="AA58" i="4"/>
  <c r="S91" i="9" s="1"/>
  <c r="V58" i="4"/>
  <c r="P91" i="9" s="1"/>
  <c r="W91" i="9" s="1"/>
  <c r="U58" i="4"/>
  <c r="O91" i="9" s="1"/>
  <c r="S58" i="4"/>
  <c r="N91" i="9" s="1"/>
  <c r="Q58" i="4"/>
  <c r="M58" i="4"/>
  <c r="J91" i="9" s="1"/>
  <c r="K58" i="4"/>
  <c r="AA57" i="4"/>
  <c r="S90" i="9" s="1"/>
  <c r="U57" i="4"/>
  <c r="O90" i="9" s="1"/>
  <c r="S57" i="4"/>
  <c r="N90" i="9" s="1"/>
  <c r="Q57" i="4"/>
  <c r="M57" i="4"/>
  <c r="J90" i="9" s="1"/>
  <c r="K57" i="4"/>
  <c r="AA56" i="4"/>
  <c r="S89" i="9" s="1"/>
  <c r="U56" i="4"/>
  <c r="O89" i="9" s="1"/>
  <c r="S56" i="4"/>
  <c r="N89" i="9" s="1"/>
  <c r="Q56" i="4"/>
  <c r="M56" i="4"/>
  <c r="J89" i="9" s="1"/>
  <c r="K56" i="4"/>
  <c r="AA55" i="4"/>
  <c r="S88" i="9" s="1"/>
  <c r="V55" i="4"/>
  <c r="P88" i="9" s="1"/>
  <c r="W88" i="9" s="1"/>
  <c r="U55" i="4"/>
  <c r="O88" i="9" s="1"/>
  <c r="S55" i="4"/>
  <c r="N88" i="9" s="1"/>
  <c r="Q55" i="4"/>
  <c r="M55" i="4"/>
  <c r="J88" i="9" s="1"/>
  <c r="R88" i="9" s="1"/>
  <c r="X88" i="9" s="1"/>
  <c r="K55" i="4"/>
  <c r="AA53" i="4"/>
  <c r="S87" i="9" s="1"/>
  <c r="V53" i="4"/>
  <c r="P87" i="9" s="1"/>
  <c r="W87" i="9" s="1"/>
  <c r="U53" i="4"/>
  <c r="O87" i="9" s="1"/>
  <c r="S53" i="4"/>
  <c r="N87" i="9" s="1"/>
  <c r="Q53" i="4"/>
  <c r="M53" i="4"/>
  <c r="J87" i="9" s="1"/>
  <c r="K53" i="4"/>
  <c r="AA52" i="4"/>
  <c r="S86" i="9" s="1"/>
  <c r="U52" i="4"/>
  <c r="O86" i="9" s="1"/>
  <c r="S52" i="4"/>
  <c r="N86" i="9" s="1"/>
  <c r="Q52" i="4"/>
  <c r="M52" i="4"/>
  <c r="J86" i="9" s="1"/>
  <c r="K52" i="4"/>
  <c r="AA51" i="4"/>
  <c r="S85" i="9" s="1"/>
  <c r="Z51" i="4"/>
  <c r="V51" i="4"/>
  <c r="P85" i="9" s="1"/>
  <c r="W85" i="9" s="1"/>
  <c r="U51" i="4"/>
  <c r="O85" i="9" s="1"/>
  <c r="S51" i="4"/>
  <c r="N85" i="9" s="1"/>
  <c r="Q51" i="4"/>
  <c r="M51" i="4"/>
  <c r="J85" i="9" s="1"/>
  <c r="R85" i="9" s="1"/>
  <c r="X85" i="9" s="1"/>
  <c r="K51" i="4"/>
  <c r="AA50" i="4"/>
  <c r="S84" i="9" s="1"/>
  <c r="U50" i="4"/>
  <c r="O84" i="9" s="1"/>
  <c r="S50" i="4"/>
  <c r="N84" i="9" s="1"/>
  <c r="Q50" i="4"/>
  <c r="M50" i="4"/>
  <c r="J84" i="9" s="1"/>
  <c r="K50" i="4"/>
  <c r="AA49" i="4"/>
  <c r="S83" i="9" s="1"/>
  <c r="U49" i="4"/>
  <c r="O83" i="9" s="1"/>
  <c r="S49" i="4"/>
  <c r="N83" i="9" s="1"/>
  <c r="Q49" i="4"/>
  <c r="M49" i="4"/>
  <c r="J83" i="9" s="1"/>
  <c r="K49" i="4"/>
  <c r="AA48" i="4"/>
  <c r="S82" i="9" s="1"/>
  <c r="W48" i="4"/>
  <c r="V48" i="4"/>
  <c r="P82" i="9" s="1"/>
  <c r="W82" i="9" s="1"/>
  <c r="U48" i="4"/>
  <c r="O82" i="9" s="1"/>
  <c r="S48" i="4"/>
  <c r="N82" i="9" s="1"/>
  <c r="Q48" i="4"/>
  <c r="M48" i="4"/>
  <c r="J82" i="9" s="1"/>
  <c r="K48" i="4"/>
  <c r="AA47" i="4"/>
  <c r="S81" i="9" s="1"/>
  <c r="V47" i="4"/>
  <c r="P81" i="9" s="1"/>
  <c r="W81" i="9" s="1"/>
  <c r="U47" i="4"/>
  <c r="O81" i="9" s="1"/>
  <c r="S47" i="4"/>
  <c r="N81" i="9" s="1"/>
  <c r="Q47" i="4"/>
  <c r="M47" i="4"/>
  <c r="J81" i="9" s="1"/>
  <c r="R81" i="9" s="1"/>
  <c r="X81" i="9" s="1"/>
  <c r="K47" i="4"/>
  <c r="AA46" i="4"/>
  <c r="S80" i="9" s="1"/>
  <c r="U46" i="4"/>
  <c r="O80" i="9" s="1"/>
  <c r="S46" i="4"/>
  <c r="N80" i="9" s="1"/>
  <c r="Q46" i="4"/>
  <c r="M46" i="4"/>
  <c r="J80" i="9" s="1"/>
  <c r="K46" i="4"/>
  <c r="AA44" i="4"/>
  <c r="S79" i="9" s="1"/>
  <c r="U44" i="4"/>
  <c r="O79" i="9" s="1"/>
  <c r="S44" i="4"/>
  <c r="N79" i="9" s="1"/>
  <c r="Q44" i="4"/>
  <c r="M44" i="4"/>
  <c r="J79" i="9" s="1"/>
  <c r="K44" i="4"/>
  <c r="AA43" i="4"/>
  <c r="S78" i="9" s="1"/>
  <c r="V43" i="4"/>
  <c r="P78" i="9" s="1"/>
  <c r="W78" i="9" s="1"/>
  <c r="U43" i="4"/>
  <c r="O78" i="9" s="1"/>
  <c r="S43" i="4"/>
  <c r="N78" i="9" s="1"/>
  <c r="Q43" i="4"/>
  <c r="M43" i="4"/>
  <c r="J78" i="9" s="1"/>
  <c r="K43" i="4"/>
  <c r="AA42" i="4"/>
  <c r="S77" i="9" s="1"/>
  <c r="U42" i="4"/>
  <c r="O77" i="9" s="1"/>
  <c r="S42" i="4"/>
  <c r="N77" i="9" s="1"/>
  <c r="Q42" i="4"/>
  <c r="M42" i="4"/>
  <c r="J77" i="9" s="1"/>
  <c r="K42" i="4"/>
  <c r="AA41" i="4"/>
  <c r="S76" i="9" s="1"/>
  <c r="U41" i="4"/>
  <c r="O76" i="9" s="1"/>
  <c r="S41" i="4"/>
  <c r="N76" i="9" s="1"/>
  <c r="Q41" i="4"/>
  <c r="M41" i="4"/>
  <c r="J76" i="9" s="1"/>
  <c r="K41" i="4"/>
  <c r="AA40" i="4"/>
  <c r="S75" i="9" s="1"/>
  <c r="V40" i="4"/>
  <c r="P75" i="9" s="1"/>
  <c r="W75" i="9" s="1"/>
  <c r="U40" i="4"/>
  <c r="O75" i="9" s="1"/>
  <c r="S40" i="4"/>
  <c r="N75" i="9" s="1"/>
  <c r="Q40" i="4"/>
  <c r="M40" i="4"/>
  <c r="J75" i="9" s="1"/>
  <c r="K40" i="4"/>
  <c r="AA38" i="4"/>
  <c r="S74" i="9" s="1"/>
  <c r="U38" i="4"/>
  <c r="O74" i="9" s="1"/>
  <c r="S38" i="4"/>
  <c r="N74" i="9" s="1"/>
  <c r="Q38" i="4"/>
  <c r="M38" i="4"/>
  <c r="J74" i="9" s="1"/>
  <c r="K38" i="4"/>
  <c r="AA37" i="4"/>
  <c r="S73" i="9" s="1"/>
  <c r="U37" i="4"/>
  <c r="O73" i="9" s="1"/>
  <c r="S37" i="4"/>
  <c r="N73" i="9" s="1"/>
  <c r="Q37" i="4"/>
  <c r="M37" i="4"/>
  <c r="J73" i="9" s="1"/>
  <c r="K37" i="4"/>
  <c r="AA36" i="4"/>
  <c r="S72" i="9" s="1"/>
  <c r="V36" i="4"/>
  <c r="P72" i="9" s="1"/>
  <c r="W72" i="9" s="1"/>
  <c r="U36" i="4"/>
  <c r="O72" i="9" s="1"/>
  <c r="S36" i="4"/>
  <c r="N72" i="9" s="1"/>
  <c r="Q36" i="4"/>
  <c r="M36" i="4"/>
  <c r="J72" i="9" s="1"/>
  <c r="R72" i="9" s="1"/>
  <c r="X72" i="9" s="1"/>
  <c r="K36" i="4"/>
  <c r="AA35" i="4"/>
  <c r="S71" i="9" s="1"/>
  <c r="V35" i="4"/>
  <c r="P71" i="9" s="1"/>
  <c r="W71" i="9" s="1"/>
  <c r="U35" i="4"/>
  <c r="O71" i="9" s="1"/>
  <c r="S35" i="4"/>
  <c r="N71" i="9" s="1"/>
  <c r="Q35" i="4"/>
  <c r="M35" i="4"/>
  <c r="J71" i="9" s="1"/>
  <c r="K35" i="4"/>
  <c r="AA34" i="4"/>
  <c r="S70" i="9" s="1"/>
  <c r="U34" i="4"/>
  <c r="O70" i="9" s="1"/>
  <c r="S34" i="4"/>
  <c r="N70" i="9" s="1"/>
  <c r="Q34" i="4"/>
  <c r="M34" i="4"/>
  <c r="J70" i="9" s="1"/>
  <c r="K34" i="4"/>
  <c r="AA33" i="4"/>
  <c r="S69" i="9" s="1"/>
  <c r="Z33" i="4"/>
  <c r="V33" i="4"/>
  <c r="P69" i="9" s="1"/>
  <c r="W69" i="9" s="1"/>
  <c r="U33" i="4"/>
  <c r="O69" i="9" s="1"/>
  <c r="S33" i="4"/>
  <c r="N69" i="9" s="1"/>
  <c r="Q33" i="4"/>
  <c r="M33" i="4"/>
  <c r="J69" i="9" s="1"/>
  <c r="K33" i="4"/>
  <c r="AA31" i="4"/>
  <c r="S68" i="9" s="1"/>
  <c r="U31" i="4"/>
  <c r="O68" i="9" s="1"/>
  <c r="S31" i="4"/>
  <c r="N68" i="9" s="1"/>
  <c r="Q31" i="4"/>
  <c r="M31" i="4"/>
  <c r="J68" i="9" s="1"/>
  <c r="K31" i="4"/>
  <c r="AA30" i="4"/>
  <c r="S67" i="9" s="1"/>
  <c r="U30" i="4"/>
  <c r="O67" i="9" s="1"/>
  <c r="S30" i="4"/>
  <c r="N67" i="9" s="1"/>
  <c r="Q30" i="4"/>
  <c r="M30" i="4"/>
  <c r="J67" i="9" s="1"/>
  <c r="K30" i="4"/>
  <c r="AA29" i="4"/>
  <c r="S66" i="9" s="1"/>
  <c r="V29" i="4"/>
  <c r="P66" i="9" s="1"/>
  <c r="W66" i="9" s="1"/>
  <c r="U29" i="4"/>
  <c r="O66" i="9" s="1"/>
  <c r="S29" i="4"/>
  <c r="N66" i="9" s="1"/>
  <c r="Q29" i="4"/>
  <c r="M29" i="4"/>
  <c r="J66" i="9" s="1"/>
  <c r="K29" i="4"/>
  <c r="AA28" i="4"/>
  <c r="S65" i="9" s="1"/>
  <c r="V28" i="4"/>
  <c r="P65" i="9" s="1"/>
  <c r="W65" i="9" s="1"/>
  <c r="U28" i="4"/>
  <c r="O65" i="9" s="1"/>
  <c r="S28" i="4"/>
  <c r="N65" i="9" s="1"/>
  <c r="Q28" i="4"/>
  <c r="M28" i="4"/>
  <c r="J65" i="9" s="1"/>
  <c r="R65" i="9" s="1"/>
  <c r="X65" i="9" s="1"/>
  <c r="K28" i="4"/>
  <c r="AA27" i="4"/>
  <c r="S64" i="9" s="1"/>
  <c r="U27" i="4"/>
  <c r="O64" i="9" s="1"/>
  <c r="S27" i="4"/>
  <c r="N64" i="9" s="1"/>
  <c r="Q27" i="4"/>
  <c r="M27" i="4"/>
  <c r="J64" i="9" s="1"/>
  <c r="K27" i="4"/>
  <c r="AA26" i="4"/>
  <c r="S63" i="9" s="1"/>
  <c r="U26" i="4"/>
  <c r="O63" i="9" s="1"/>
  <c r="S26" i="4"/>
  <c r="N63" i="9" s="1"/>
  <c r="Q26" i="4"/>
  <c r="M26" i="4"/>
  <c r="J63" i="9" s="1"/>
  <c r="K26" i="4"/>
  <c r="AA25" i="4"/>
  <c r="S62" i="9" s="1"/>
  <c r="W25" i="4"/>
  <c r="V25" i="4"/>
  <c r="P62" i="9" s="1"/>
  <c r="W62" i="9" s="1"/>
  <c r="U25" i="4"/>
  <c r="O62" i="9" s="1"/>
  <c r="S25" i="4"/>
  <c r="N62" i="9" s="1"/>
  <c r="Q25" i="4"/>
  <c r="M25" i="4"/>
  <c r="J62" i="9" s="1"/>
  <c r="K25" i="4"/>
  <c r="AA24" i="4"/>
  <c r="S61" i="9" s="1"/>
  <c r="U24" i="4"/>
  <c r="O61" i="9" s="1"/>
  <c r="S24" i="4"/>
  <c r="N61" i="9" s="1"/>
  <c r="Q24" i="4"/>
  <c r="M24" i="4"/>
  <c r="J61" i="9" s="1"/>
  <c r="K24" i="4"/>
  <c r="AA23" i="4"/>
  <c r="S60" i="9" s="1"/>
  <c r="U23" i="4"/>
  <c r="O60" i="9" s="1"/>
  <c r="S23" i="4"/>
  <c r="N60" i="9" s="1"/>
  <c r="Q23" i="4"/>
  <c r="M23" i="4"/>
  <c r="J60" i="9" s="1"/>
  <c r="K23" i="4"/>
  <c r="AA21" i="4"/>
  <c r="S59" i="9" s="1"/>
  <c r="V21" i="4"/>
  <c r="P59" i="9" s="1"/>
  <c r="W59" i="9" s="1"/>
  <c r="U21" i="4"/>
  <c r="O59" i="9" s="1"/>
  <c r="S21" i="4"/>
  <c r="N59" i="9" s="1"/>
  <c r="Q21" i="4"/>
  <c r="M21" i="4"/>
  <c r="J59" i="9" s="1"/>
  <c r="K21" i="4"/>
  <c r="AA20" i="4"/>
  <c r="S58" i="9" s="1"/>
  <c r="U20" i="4"/>
  <c r="O58" i="9" s="1"/>
  <c r="S20" i="4"/>
  <c r="N58" i="9" s="1"/>
  <c r="Q20" i="4"/>
  <c r="M20" i="4"/>
  <c r="J58" i="9" s="1"/>
  <c r="K20" i="4"/>
  <c r="AA19" i="4"/>
  <c r="S57" i="9" s="1"/>
  <c r="U19" i="4"/>
  <c r="O57" i="9" s="1"/>
  <c r="S19" i="4"/>
  <c r="N57" i="9" s="1"/>
  <c r="Q19" i="4"/>
  <c r="M19" i="4"/>
  <c r="J57" i="9" s="1"/>
  <c r="K19" i="4"/>
  <c r="AA18" i="4"/>
  <c r="S56" i="9" s="1"/>
  <c r="V18" i="4"/>
  <c r="P56" i="9" s="1"/>
  <c r="W56" i="9" s="1"/>
  <c r="U18" i="4"/>
  <c r="O56" i="9" s="1"/>
  <c r="S18" i="4"/>
  <c r="N56" i="9" s="1"/>
  <c r="Q18" i="4"/>
  <c r="M18" i="4"/>
  <c r="J56" i="9" s="1"/>
  <c r="R56" i="9" s="1"/>
  <c r="X56" i="9" s="1"/>
  <c r="K18" i="4"/>
  <c r="AA17" i="4"/>
  <c r="S55" i="9" s="1"/>
  <c r="U17" i="4"/>
  <c r="O55" i="9" s="1"/>
  <c r="S17" i="4"/>
  <c r="N55" i="9" s="1"/>
  <c r="Q17" i="4"/>
  <c r="M17" i="4"/>
  <c r="J55" i="9" s="1"/>
  <c r="K17" i="4"/>
  <c r="AA16" i="4"/>
  <c r="S54" i="9" s="1"/>
  <c r="U16" i="4"/>
  <c r="O54" i="9" s="1"/>
  <c r="S16" i="4"/>
  <c r="N54" i="9" s="1"/>
  <c r="Q16" i="4"/>
  <c r="M16" i="4"/>
  <c r="J54" i="9" s="1"/>
  <c r="K16" i="4"/>
  <c r="AA15" i="4"/>
  <c r="S53" i="9" s="1"/>
  <c r="V15" i="4"/>
  <c r="P53" i="9" s="1"/>
  <c r="W53" i="9" s="1"/>
  <c r="U15" i="4"/>
  <c r="O53" i="9" s="1"/>
  <c r="S15" i="4"/>
  <c r="N53" i="9" s="1"/>
  <c r="Q15" i="4"/>
  <c r="M15" i="4"/>
  <c r="J53" i="9" s="1"/>
  <c r="K15" i="4"/>
  <c r="AA14" i="4"/>
  <c r="S52" i="9" s="1"/>
  <c r="U14" i="4"/>
  <c r="O52" i="9" s="1"/>
  <c r="S14" i="4"/>
  <c r="N52" i="9" s="1"/>
  <c r="Q14" i="4"/>
  <c r="M14" i="4"/>
  <c r="J52" i="9" s="1"/>
  <c r="K14" i="4"/>
  <c r="AA12" i="4"/>
  <c r="S51" i="9" s="1"/>
  <c r="U12" i="4"/>
  <c r="O51" i="9" s="1"/>
  <c r="S12" i="4"/>
  <c r="N51" i="9" s="1"/>
  <c r="Q12" i="4"/>
  <c r="M12" i="4"/>
  <c r="J51" i="9" s="1"/>
  <c r="K12" i="4"/>
  <c r="AA11" i="4"/>
  <c r="S50" i="9" s="1"/>
  <c r="V11" i="4"/>
  <c r="P50" i="9" s="1"/>
  <c r="W50" i="9" s="1"/>
  <c r="U11" i="4"/>
  <c r="O50" i="9" s="1"/>
  <c r="S11" i="4"/>
  <c r="N50" i="9" s="1"/>
  <c r="Q11" i="4"/>
  <c r="M11" i="4"/>
  <c r="J50" i="9" s="1"/>
  <c r="K11" i="4"/>
  <c r="AA10" i="4"/>
  <c r="S49" i="9" s="1"/>
  <c r="V10" i="4"/>
  <c r="P49" i="9" s="1"/>
  <c r="W49" i="9" s="1"/>
  <c r="U10" i="4"/>
  <c r="O49" i="9" s="1"/>
  <c r="S10" i="4"/>
  <c r="N49" i="9" s="1"/>
  <c r="Q10" i="4"/>
  <c r="M10" i="4"/>
  <c r="J49" i="9" s="1"/>
  <c r="R49" i="9" s="1"/>
  <c r="X49" i="9" s="1"/>
  <c r="K10" i="4"/>
  <c r="AA9" i="4"/>
  <c r="S48" i="9" s="1"/>
  <c r="U9" i="4"/>
  <c r="O48" i="9" s="1"/>
  <c r="S9" i="4"/>
  <c r="N48" i="9" s="1"/>
  <c r="Q9" i="4"/>
  <c r="M9" i="4"/>
  <c r="J48" i="9" s="1"/>
  <c r="K9" i="4"/>
  <c r="AA8" i="4"/>
  <c r="S47" i="9" s="1"/>
  <c r="U8" i="4"/>
  <c r="O47" i="9" s="1"/>
  <c r="S8" i="4"/>
  <c r="N47" i="9" s="1"/>
  <c r="Q8" i="4"/>
  <c r="M8" i="4"/>
  <c r="J47" i="9" s="1"/>
  <c r="K8" i="4"/>
  <c r="AA7" i="4"/>
  <c r="S46" i="9" s="1"/>
  <c r="V7" i="4"/>
  <c r="P46" i="9" s="1"/>
  <c r="W46" i="9" s="1"/>
  <c r="U7" i="4"/>
  <c r="O46" i="9" s="1"/>
  <c r="S7" i="4"/>
  <c r="N46" i="9" s="1"/>
  <c r="Q7" i="4"/>
  <c r="M7" i="4"/>
  <c r="J46" i="9" s="1"/>
  <c r="K7" i="4"/>
  <c r="AA6" i="4"/>
  <c r="S45" i="9" s="1"/>
  <c r="U6" i="4"/>
  <c r="O45" i="9" s="1"/>
  <c r="S6" i="4"/>
  <c r="N45" i="9" s="1"/>
  <c r="Q6" i="4"/>
  <c r="M6" i="4"/>
  <c r="J45" i="9" s="1"/>
  <c r="K6" i="4"/>
  <c r="AA5" i="4"/>
  <c r="S44" i="9" s="1"/>
  <c r="U5" i="4"/>
  <c r="O44" i="9" s="1"/>
  <c r="S5" i="4"/>
  <c r="N44" i="9" s="1"/>
  <c r="Q5" i="4"/>
  <c r="M5" i="4"/>
  <c r="J44" i="9" s="1"/>
  <c r="K5" i="4"/>
  <c r="AA48" i="3"/>
  <c r="S43" i="9" s="1"/>
  <c r="V48" i="3"/>
  <c r="P43" i="9" s="1"/>
  <c r="W43" i="9" s="1"/>
  <c r="U48" i="3"/>
  <c r="O43" i="9" s="1"/>
  <c r="S48" i="3"/>
  <c r="N43" i="9" s="1"/>
  <c r="Q48" i="3"/>
  <c r="M48" i="3"/>
  <c r="J43" i="9" s="1"/>
  <c r="K48" i="3"/>
  <c r="AA47" i="3"/>
  <c r="S42" i="9" s="1"/>
  <c r="U47" i="3"/>
  <c r="O42" i="9" s="1"/>
  <c r="S47" i="3"/>
  <c r="N42" i="9" s="1"/>
  <c r="Q47" i="3"/>
  <c r="M47" i="3"/>
  <c r="J42" i="9" s="1"/>
  <c r="K47" i="3"/>
  <c r="AA46" i="3"/>
  <c r="S41" i="9" s="1"/>
  <c r="U46" i="3"/>
  <c r="O41" i="9" s="1"/>
  <c r="S46" i="3"/>
  <c r="N41" i="9" s="1"/>
  <c r="Q46" i="3"/>
  <c r="M46" i="3"/>
  <c r="J41" i="9" s="1"/>
  <c r="K46" i="3"/>
  <c r="AA45" i="3"/>
  <c r="S40" i="9" s="1"/>
  <c r="V45" i="3"/>
  <c r="P40" i="9" s="1"/>
  <c r="W40" i="9" s="1"/>
  <c r="U45" i="3"/>
  <c r="O40" i="9" s="1"/>
  <c r="S45" i="3"/>
  <c r="N40" i="9" s="1"/>
  <c r="Q45" i="3"/>
  <c r="M45" i="3"/>
  <c r="J40" i="9" s="1"/>
  <c r="R40" i="9" s="1"/>
  <c r="X40" i="9" s="1"/>
  <c r="K45" i="3"/>
  <c r="AA44" i="3"/>
  <c r="S39" i="9" s="1"/>
  <c r="U44" i="3"/>
  <c r="O39" i="9" s="1"/>
  <c r="S44" i="3"/>
  <c r="N39" i="9" s="1"/>
  <c r="Q44" i="3"/>
  <c r="M44" i="3"/>
  <c r="J39" i="9" s="1"/>
  <c r="K44" i="3"/>
  <c r="AA43" i="3"/>
  <c r="S38" i="9" s="1"/>
  <c r="U43" i="3"/>
  <c r="O38" i="9" s="1"/>
  <c r="S43" i="3"/>
  <c r="N38" i="9" s="1"/>
  <c r="Q43" i="3"/>
  <c r="M43" i="3"/>
  <c r="J38" i="9" s="1"/>
  <c r="K43" i="3"/>
  <c r="AA42" i="3"/>
  <c r="S37" i="9" s="1"/>
  <c r="V42" i="3"/>
  <c r="P37" i="9" s="1"/>
  <c r="W37" i="9" s="1"/>
  <c r="U42" i="3"/>
  <c r="O37" i="9" s="1"/>
  <c r="S42" i="3"/>
  <c r="N37" i="9" s="1"/>
  <c r="Q42" i="3"/>
  <c r="M42" i="3"/>
  <c r="J37" i="9" s="1"/>
  <c r="K42" i="3"/>
  <c r="AA41" i="3"/>
  <c r="S36" i="9" s="1"/>
  <c r="U41" i="3"/>
  <c r="O36" i="9" s="1"/>
  <c r="S41" i="3"/>
  <c r="N36" i="9" s="1"/>
  <c r="Q41" i="3"/>
  <c r="M41" i="3"/>
  <c r="J36" i="9" s="1"/>
  <c r="K41" i="3"/>
  <c r="AA40" i="3"/>
  <c r="S35" i="9" s="1"/>
  <c r="U40" i="3"/>
  <c r="O35" i="9" s="1"/>
  <c r="S40" i="3"/>
  <c r="N35" i="9" s="1"/>
  <c r="Q40" i="3"/>
  <c r="M40" i="3"/>
  <c r="J35" i="9" s="1"/>
  <c r="K40" i="3"/>
  <c r="AA39" i="3"/>
  <c r="S34" i="9" s="1"/>
  <c r="V39" i="3"/>
  <c r="P34" i="9" s="1"/>
  <c r="W34" i="9" s="1"/>
  <c r="U39" i="3"/>
  <c r="O34" i="9" s="1"/>
  <c r="S39" i="3"/>
  <c r="N34" i="9" s="1"/>
  <c r="Q39" i="3"/>
  <c r="M39" i="3"/>
  <c r="J34" i="9" s="1"/>
  <c r="K39" i="3"/>
  <c r="AA37" i="3"/>
  <c r="S33" i="9" s="1"/>
  <c r="V37" i="3"/>
  <c r="P33" i="9" s="1"/>
  <c r="W33" i="9" s="1"/>
  <c r="U37" i="3"/>
  <c r="O33" i="9" s="1"/>
  <c r="S37" i="3"/>
  <c r="N33" i="9" s="1"/>
  <c r="Q37" i="3"/>
  <c r="M37" i="3"/>
  <c r="J33" i="9" s="1"/>
  <c r="R33" i="9" s="1"/>
  <c r="X33" i="9" s="1"/>
  <c r="K37" i="3"/>
  <c r="AA36" i="3"/>
  <c r="S32" i="9" s="1"/>
  <c r="U36" i="3"/>
  <c r="O32" i="9" s="1"/>
  <c r="S36" i="3"/>
  <c r="N32" i="9" s="1"/>
  <c r="Q36" i="3"/>
  <c r="M36" i="3"/>
  <c r="J32" i="9" s="1"/>
  <c r="K36" i="3"/>
  <c r="AA35" i="3"/>
  <c r="S31" i="9" s="1"/>
  <c r="U35" i="3"/>
  <c r="O31" i="9" s="1"/>
  <c r="S35" i="3"/>
  <c r="N31" i="9" s="1"/>
  <c r="Q35" i="3"/>
  <c r="M35" i="3"/>
  <c r="J31" i="9" s="1"/>
  <c r="K35" i="3"/>
  <c r="AA34" i="3"/>
  <c r="S30" i="9" s="1"/>
  <c r="V34" i="3"/>
  <c r="P30" i="9" s="1"/>
  <c r="W30" i="9" s="1"/>
  <c r="U34" i="3"/>
  <c r="O30" i="9" s="1"/>
  <c r="S34" i="3"/>
  <c r="N30" i="9" s="1"/>
  <c r="Q34" i="3"/>
  <c r="M34" i="3"/>
  <c r="J30" i="9" s="1"/>
  <c r="K34" i="3"/>
  <c r="AA33" i="3"/>
  <c r="S29" i="9" s="1"/>
  <c r="U33" i="3"/>
  <c r="O29" i="9" s="1"/>
  <c r="S33" i="3"/>
  <c r="N29" i="9" s="1"/>
  <c r="Q33" i="3"/>
  <c r="M33" i="3"/>
  <c r="J29" i="9" s="1"/>
  <c r="K33" i="3"/>
  <c r="AA32" i="3"/>
  <c r="S28" i="9" s="1"/>
  <c r="U32" i="3"/>
  <c r="O28" i="9" s="1"/>
  <c r="S32" i="3"/>
  <c r="N28" i="9" s="1"/>
  <c r="Q32" i="3"/>
  <c r="M32" i="3"/>
  <c r="J28" i="9" s="1"/>
  <c r="K32" i="3"/>
  <c r="AA31" i="3"/>
  <c r="S27" i="9" s="1"/>
  <c r="V31" i="3"/>
  <c r="P27" i="9" s="1"/>
  <c r="W27" i="9" s="1"/>
  <c r="U31" i="3"/>
  <c r="O27" i="9" s="1"/>
  <c r="S31" i="3"/>
  <c r="N27" i="9" s="1"/>
  <c r="Q31" i="3"/>
  <c r="M31" i="3"/>
  <c r="J27" i="9" s="1"/>
  <c r="K31" i="3"/>
  <c r="AA30" i="3"/>
  <c r="S26" i="9" s="1"/>
  <c r="U30" i="3"/>
  <c r="O26" i="9" s="1"/>
  <c r="S30" i="3"/>
  <c r="N26" i="9" s="1"/>
  <c r="Q30" i="3"/>
  <c r="M30" i="3"/>
  <c r="J26" i="9" s="1"/>
  <c r="K30" i="3"/>
  <c r="AA29" i="3"/>
  <c r="S25" i="9" s="1"/>
  <c r="U29" i="3"/>
  <c r="O25" i="9" s="1"/>
  <c r="S29" i="3"/>
  <c r="N25" i="9" s="1"/>
  <c r="Q29" i="3"/>
  <c r="M29" i="3"/>
  <c r="J25" i="9" s="1"/>
  <c r="K29" i="3"/>
  <c r="AA28" i="3"/>
  <c r="S24" i="9" s="1"/>
  <c r="V28" i="3"/>
  <c r="P24" i="9" s="1"/>
  <c r="W24" i="9" s="1"/>
  <c r="U28" i="3"/>
  <c r="O24" i="9" s="1"/>
  <c r="S28" i="3"/>
  <c r="N24" i="9" s="1"/>
  <c r="Q28" i="3"/>
  <c r="M28" i="3"/>
  <c r="J24" i="9" s="1"/>
  <c r="R24" i="9" s="1"/>
  <c r="X24" i="9" s="1"/>
  <c r="K28" i="3"/>
  <c r="AA26" i="3"/>
  <c r="S23" i="9" s="1"/>
  <c r="U26" i="3"/>
  <c r="O23" i="9" s="1"/>
  <c r="S26" i="3"/>
  <c r="N23" i="9" s="1"/>
  <c r="Q26" i="3"/>
  <c r="M26" i="3"/>
  <c r="J23" i="9" s="1"/>
  <c r="K26" i="3"/>
  <c r="AA25" i="3"/>
  <c r="S22" i="9" s="1"/>
  <c r="U25" i="3"/>
  <c r="O22" i="9" s="1"/>
  <c r="S25" i="3"/>
  <c r="N22" i="9" s="1"/>
  <c r="Q25" i="3"/>
  <c r="M25" i="3"/>
  <c r="J22" i="9" s="1"/>
  <c r="K25" i="3"/>
  <c r="AA24" i="3"/>
  <c r="S21" i="9" s="1"/>
  <c r="V24" i="3"/>
  <c r="P21" i="9" s="1"/>
  <c r="W21" i="9" s="1"/>
  <c r="U24" i="3"/>
  <c r="O21" i="9" s="1"/>
  <c r="S24" i="3"/>
  <c r="N21" i="9" s="1"/>
  <c r="Q24" i="3"/>
  <c r="M24" i="3"/>
  <c r="J21" i="9" s="1"/>
  <c r="K24" i="3"/>
  <c r="AA23" i="3"/>
  <c r="S20" i="9" s="1"/>
  <c r="U23" i="3"/>
  <c r="O20" i="9" s="1"/>
  <c r="S23" i="3"/>
  <c r="N20" i="9" s="1"/>
  <c r="Q23" i="3"/>
  <c r="M23" i="3"/>
  <c r="J20" i="9" s="1"/>
  <c r="K23" i="3"/>
  <c r="AA22" i="3"/>
  <c r="S19" i="9" s="1"/>
  <c r="U22" i="3"/>
  <c r="O19" i="9" s="1"/>
  <c r="S22" i="3"/>
  <c r="N19" i="9" s="1"/>
  <c r="Q22" i="3"/>
  <c r="M22" i="3"/>
  <c r="J19" i="9" s="1"/>
  <c r="K22" i="3"/>
  <c r="AA21" i="3"/>
  <c r="S18" i="9" s="1"/>
  <c r="V21" i="3"/>
  <c r="P18" i="9" s="1"/>
  <c r="W18" i="9" s="1"/>
  <c r="U21" i="3"/>
  <c r="O18" i="9" s="1"/>
  <c r="S21" i="3"/>
  <c r="N18" i="9" s="1"/>
  <c r="Q21" i="3"/>
  <c r="M21" i="3"/>
  <c r="J18" i="9" s="1"/>
  <c r="K21" i="3"/>
  <c r="AA20" i="3"/>
  <c r="S17" i="9" s="1"/>
  <c r="V20" i="3"/>
  <c r="P17" i="9" s="1"/>
  <c r="W17" i="9" s="1"/>
  <c r="U20" i="3"/>
  <c r="O17" i="9" s="1"/>
  <c r="S20" i="3"/>
  <c r="N17" i="9" s="1"/>
  <c r="Q20" i="3"/>
  <c r="M20" i="3"/>
  <c r="J17" i="9" s="1"/>
  <c r="R17" i="9" s="1"/>
  <c r="X17" i="9" s="1"/>
  <c r="K20" i="3"/>
  <c r="AA19" i="3"/>
  <c r="S16" i="9" s="1"/>
  <c r="U19" i="3"/>
  <c r="O16" i="9" s="1"/>
  <c r="S19" i="3"/>
  <c r="N16" i="9" s="1"/>
  <c r="Q19" i="3"/>
  <c r="M19" i="3"/>
  <c r="J16" i="9" s="1"/>
  <c r="K19" i="3"/>
  <c r="AA18" i="3"/>
  <c r="S15" i="9" s="1"/>
  <c r="U18" i="3"/>
  <c r="O15" i="9" s="1"/>
  <c r="S18" i="3"/>
  <c r="N15" i="9" s="1"/>
  <c r="Q18" i="3"/>
  <c r="M18" i="3"/>
  <c r="J15" i="9" s="1"/>
  <c r="K18" i="3"/>
  <c r="AA17" i="3"/>
  <c r="S14" i="9" s="1"/>
  <c r="V17" i="3"/>
  <c r="P14" i="9" s="1"/>
  <c r="W14" i="9" s="1"/>
  <c r="U17" i="3"/>
  <c r="O14" i="9" s="1"/>
  <c r="S17" i="3"/>
  <c r="N14" i="9" s="1"/>
  <c r="Q17" i="3"/>
  <c r="M17" i="3"/>
  <c r="J14" i="9" s="1"/>
  <c r="K17" i="3"/>
  <c r="AA16" i="3"/>
  <c r="S13" i="9" s="1"/>
  <c r="U16" i="3"/>
  <c r="O13" i="9" s="1"/>
  <c r="S16" i="3"/>
  <c r="N13" i="9" s="1"/>
  <c r="Q16" i="3"/>
  <c r="M16" i="3"/>
  <c r="J13" i="9" s="1"/>
  <c r="K16" i="3"/>
  <c r="AA14" i="3"/>
  <c r="S12" i="9" s="1"/>
  <c r="U14" i="3"/>
  <c r="O12" i="9" s="1"/>
  <c r="S14" i="3"/>
  <c r="N12" i="9" s="1"/>
  <c r="Q14" i="3"/>
  <c r="M14" i="3"/>
  <c r="J12" i="9" s="1"/>
  <c r="K14" i="3"/>
  <c r="AA13" i="3"/>
  <c r="S11" i="9" s="1"/>
  <c r="V13" i="3"/>
  <c r="P11" i="9" s="1"/>
  <c r="W11" i="9" s="1"/>
  <c r="U13" i="3"/>
  <c r="O11" i="9" s="1"/>
  <c r="S13" i="3"/>
  <c r="N11" i="9" s="1"/>
  <c r="Q13" i="3"/>
  <c r="M13" i="3"/>
  <c r="J11" i="9" s="1"/>
  <c r="K13" i="3"/>
  <c r="AA12" i="3"/>
  <c r="S10" i="9" s="1"/>
  <c r="U12" i="3"/>
  <c r="O10" i="9" s="1"/>
  <c r="S12" i="3"/>
  <c r="N10" i="9" s="1"/>
  <c r="Q12" i="3"/>
  <c r="M12" i="3"/>
  <c r="J10" i="9" s="1"/>
  <c r="K12" i="3"/>
  <c r="AA11" i="3"/>
  <c r="S9" i="9" s="1"/>
  <c r="U11" i="3"/>
  <c r="O9" i="9" s="1"/>
  <c r="S11" i="3"/>
  <c r="N9" i="9" s="1"/>
  <c r="Q11" i="3"/>
  <c r="M11" i="3"/>
  <c r="J9" i="9" s="1"/>
  <c r="K11" i="3"/>
  <c r="AA10" i="3"/>
  <c r="S8" i="9" s="1"/>
  <c r="V10" i="3"/>
  <c r="P8" i="9" s="1"/>
  <c r="W8" i="9" s="1"/>
  <c r="U10" i="3"/>
  <c r="O8" i="9" s="1"/>
  <c r="S10" i="3"/>
  <c r="N8" i="9" s="1"/>
  <c r="Q10" i="3"/>
  <c r="M10" i="3"/>
  <c r="J8" i="9" s="1"/>
  <c r="R8" i="9" s="1"/>
  <c r="X8" i="9" s="1"/>
  <c r="K10" i="3"/>
  <c r="AA9" i="3"/>
  <c r="S7" i="9" s="1"/>
  <c r="U9" i="3"/>
  <c r="O7" i="9" s="1"/>
  <c r="S9" i="3"/>
  <c r="N7" i="9" s="1"/>
  <c r="Q9" i="3"/>
  <c r="M9" i="3"/>
  <c r="J7" i="9" s="1"/>
  <c r="K9" i="3"/>
  <c r="AA8" i="3"/>
  <c r="S6" i="9" s="1"/>
  <c r="U8" i="3"/>
  <c r="O6" i="9" s="1"/>
  <c r="S8" i="3"/>
  <c r="N6" i="9" s="1"/>
  <c r="Q8" i="3"/>
  <c r="M8" i="3"/>
  <c r="J6" i="9" s="1"/>
  <c r="K8" i="3"/>
  <c r="AA7" i="3"/>
  <c r="S5" i="9" s="1"/>
  <c r="V7" i="3"/>
  <c r="P5" i="9" s="1"/>
  <c r="W5" i="9" s="1"/>
  <c r="U7" i="3"/>
  <c r="O5" i="9" s="1"/>
  <c r="S7" i="3"/>
  <c r="N5" i="9" s="1"/>
  <c r="Q7" i="3"/>
  <c r="M7" i="3"/>
  <c r="J5" i="9" s="1"/>
  <c r="K7" i="3"/>
  <c r="AA6" i="3"/>
  <c r="S4" i="9" s="1"/>
  <c r="U6" i="3"/>
  <c r="O4" i="9" s="1"/>
  <c r="S6" i="3"/>
  <c r="N4" i="9" s="1"/>
  <c r="Q6" i="3"/>
  <c r="M6" i="3"/>
  <c r="J4" i="9" s="1"/>
  <c r="K6" i="3"/>
  <c r="AA5" i="3"/>
  <c r="S3" i="9" s="1"/>
  <c r="U5" i="3"/>
  <c r="O3" i="9" s="1"/>
  <c r="S5" i="3"/>
  <c r="N3" i="9" s="1"/>
  <c r="Q5" i="3"/>
  <c r="M5" i="3"/>
  <c r="J3" i="9" s="1"/>
  <c r="K5" i="3"/>
  <c r="J75" i="7"/>
  <c r="D75" i="7"/>
  <c r="J74" i="7"/>
  <c r="D74" i="7"/>
  <c r="J73" i="7"/>
  <c r="D73" i="7"/>
  <c r="J72" i="7"/>
  <c r="D72" i="7"/>
  <c r="J71" i="7"/>
  <c r="D71" i="7"/>
  <c r="J70" i="7"/>
  <c r="D70" i="7"/>
  <c r="J69" i="7"/>
  <c r="D69" i="7"/>
  <c r="J68" i="7"/>
  <c r="D68" i="7"/>
  <c r="J67" i="7"/>
  <c r="D67" i="7"/>
  <c r="J66" i="7"/>
  <c r="D66" i="7"/>
  <c r="J65" i="7"/>
  <c r="D65" i="7"/>
  <c r="J64" i="7"/>
  <c r="D64" i="7"/>
  <c r="J63" i="7"/>
  <c r="D63" i="7"/>
  <c r="J62" i="7"/>
  <c r="D62" i="7"/>
  <c r="J61" i="7"/>
  <c r="D61" i="7"/>
  <c r="D60" i="7"/>
  <c r="J48" i="7"/>
  <c r="D48" i="7"/>
  <c r="J47" i="7"/>
  <c r="D47" i="7"/>
  <c r="J46" i="7"/>
  <c r="D46" i="7"/>
  <c r="J45" i="7"/>
  <c r="D45" i="7"/>
  <c r="J44" i="7"/>
  <c r="D44" i="7"/>
  <c r="J43" i="7"/>
  <c r="D43" i="7"/>
  <c r="J42" i="7"/>
  <c r="D42" i="7"/>
  <c r="J41" i="7"/>
  <c r="D41" i="7"/>
  <c r="J40" i="7"/>
  <c r="D40" i="7"/>
  <c r="J39" i="7"/>
  <c r="D39" i="7"/>
  <c r="J38" i="7"/>
  <c r="D38" i="7"/>
  <c r="J37" i="7"/>
  <c r="D37" i="7"/>
  <c r="J36" i="7"/>
  <c r="D36" i="7"/>
  <c r="J35" i="7"/>
  <c r="D35" i="7"/>
  <c r="J34" i="7"/>
  <c r="D34" i="7"/>
  <c r="D33" i="7"/>
  <c r="W114" i="9" l="1"/>
  <c r="W146" i="9"/>
  <c r="R166" i="9"/>
  <c r="X166" i="9" s="1"/>
  <c r="W155" i="9"/>
  <c r="J179" i="9"/>
  <c r="R179" i="9" s="1"/>
  <c r="X179" i="9" s="1"/>
  <c r="W45" i="6"/>
  <c r="W29" i="4"/>
  <c r="V14" i="4"/>
  <c r="Z29" i="4"/>
  <c r="V31" i="4"/>
  <c r="W40" i="4"/>
  <c r="Z48" i="4"/>
  <c r="V50" i="4"/>
  <c r="W58" i="4"/>
  <c r="Z66" i="4"/>
  <c r="V68" i="4"/>
  <c r="W75" i="4"/>
  <c r="W116" i="9"/>
  <c r="W21" i="5"/>
  <c r="R136" i="9"/>
  <c r="X136" i="9" s="1"/>
  <c r="W38" i="5"/>
  <c r="Z9" i="6"/>
  <c r="V11" i="6"/>
  <c r="R152" i="9"/>
  <c r="X152" i="9" s="1"/>
  <c r="W19" i="6"/>
  <c r="Z26" i="6"/>
  <c r="V29" i="6"/>
  <c r="W36" i="6"/>
  <c r="P173" i="9"/>
  <c r="W173" i="9" s="1"/>
  <c r="W38" i="6"/>
  <c r="N177" i="9"/>
  <c r="V43" i="6"/>
  <c r="F22" i="8"/>
  <c r="G22" i="8" s="1"/>
  <c r="E22" i="8"/>
  <c r="W21" i="3"/>
  <c r="Z21" i="3"/>
  <c r="W48" i="3"/>
  <c r="Z58" i="4"/>
  <c r="V60" i="4"/>
  <c r="Z75" i="4"/>
  <c r="V6" i="5"/>
  <c r="R113" i="9"/>
  <c r="X113" i="9" s="1"/>
  <c r="W13" i="5"/>
  <c r="Z21" i="5"/>
  <c r="V23" i="5"/>
  <c r="R129" i="9"/>
  <c r="X129" i="9" s="1"/>
  <c r="W31" i="5"/>
  <c r="Z38" i="5"/>
  <c r="V40" i="5"/>
  <c r="R145" i="9"/>
  <c r="X145" i="9" s="1"/>
  <c r="Z19" i="6"/>
  <c r="V21" i="6"/>
  <c r="R161" i="9"/>
  <c r="X161" i="9" s="1"/>
  <c r="Z36" i="6"/>
  <c r="P175" i="9"/>
  <c r="W175" i="9" s="1"/>
  <c r="Z41" i="6"/>
  <c r="V6" i="3"/>
  <c r="W31" i="3"/>
  <c r="W21" i="4"/>
  <c r="Z13" i="3"/>
  <c r="Z21" i="4"/>
  <c r="V24" i="4"/>
  <c r="V16" i="4"/>
  <c r="V34" i="4"/>
  <c r="V52" i="4"/>
  <c r="V70" i="4"/>
  <c r="Z13" i="5"/>
  <c r="V15" i="5"/>
  <c r="Z31" i="5"/>
  <c r="W150" i="9"/>
  <c r="W41" i="6"/>
  <c r="W13" i="3"/>
  <c r="V23" i="3"/>
  <c r="Z11" i="4"/>
  <c r="V16" i="3"/>
  <c r="Z31" i="3"/>
  <c r="V33" i="3"/>
  <c r="Z48" i="3"/>
  <c r="V6" i="4"/>
  <c r="Z40" i="4"/>
  <c r="V42" i="4"/>
  <c r="V8" i="3"/>
  <c r="V25" i="3"/>
  <c r="V43" i="3"/>
  <c r="V18" i="3"/>
  <c r="V35" i="3"/>
  <c r="V8" i="4"/>
  <c r="V26" i="4"/>
  <c r="V44" i="4"/>
  <c r="V62" i="4"/>
  <c r="V8" i="5"/>
  <c r="W33" i="5"/>
  <c r="W13" i="6"/>
  <c r="W31" i="6"/>
  <c r="V41" i="3"/>
  <c r="W120" i="9"/>
  <c r="W25" i="5"/>
  <c r="W6" i="6"/>
  <c r="W152" i="9"/>
  <c r="W23" i="6"/>
  <c r="Z31" i="6"/>
  <c r="V33" i="6"/>
  <c r="R21" i="9"/>
  <c r="X21" i="9" s="1"/>
  <c r="R37" i="9"/>
  <c r="X37" i="9" s="1"/>
  <c r="R53" i="9"/>
  <c r="X53" i="9" s="1"/>
  <c r="W18" i="4"/>
  <c r="R69" i="9"/>
  <c r="X69" i="9" s="1"/>
  <c r="W36" i="4"/>
  <c r="W55" i="4"/>
  <c r="W72" i="4"/>
  <c r="W113" i="9"/>
  <c r="W18" i="5"/>
  <c r="W35" i="5"/>
  <c r="W145" i="9"/>
  <c r="W15" i="6"/>
  <c r="R14" i="9"/>
  <c r="X14" i="9" s="1"/>
  <c r="W20" i="3"/>
  <c r="Z28" i="3"/>
  <c r="V30" i="3"/>
  <c r="R30" i="9"/>
  <c r="X30" i="9" s="1"/>
  <c r="W37" i="3"/>
  <c r="Z45" i="3"/>
  <c r="V47" i="3"/>
  <c r="R46" i="9"/>
  <c r="X46" i="9" s="1"/>
  <c r="W10" i="4"/>
  <c r="Z18" i="4"/>
  <c r="V20" i="4"/>
  <c r="R62" i="9"/>
  <c r="X62" i="9" s="1"/>
  <c r="W28" i="4"/>
  <c r="Z36" i="4"/>
  <c r="V38" i="4"/>
  <c r="R78" i="9"/>
  <c r="X78" i="9" s="1"/>
  <c r="W47" i="4"/>
  <c r="Z55" i="4"/>
  <c r="V57" i="4"/>
  <c r="R94" i="9"/>
  <c r="X94" i="9" s="1"/>
  <c r="W65" i="4"/>
  <c r="Z72" i="4"/>
  <c r="V74" i="4"/>
  <c r="R110" i="9"/>
  <c r="X110" i="9" s="1"/>
  <c r="W10" i="5"/>
  <c r="Z18" i="5"/>
  <c r="V20" i="5"/>
  <c r="R126" i="9"/>
  <c r="X126" i="9" s="1"/>
  <c r="W27" i="5"/>
  <c r="Z35" i="5"/>
  <c r="V37" i="5"/>
  <c r="W8" i="6"/>
  <c r="Z15" i="6"/>
  <c r="V18" i="6"/>
  <c r="W25" i="6"/>
  <c r="G17" i="8"/>
  <c r="W11" i="4"/>
  <c r="Z39" i="3"/>
  <c r="R5" i="9"/>
  <c r="X5" i="9" s="1"/>
  <c r="W10" i="3"/>
  <c r="W45" i="3"/>
  <c r="Z10" i="3"/>
  <c r="V12" i="3"/>
  <c r="V5" i="3"/>
  <c r="Z20" i="3"/>
  <c r="V22" i="3"/>
  <c r="Z37" i="3"/>
  <c r="V40" i="3"/>
  <c r="Z10" i="4"/>
  <c r="V12" i="4"/>
  <c r="Z28" i="4"/>
  <c r="V30" i="4"/>
  <c r="R71" i="9"/>
  <c r="X71" i="9" s="1"/>
  <c r="Z47" i="4"/>
  <c r="V49" i="4"/>
  <c r="R87" i="9"/>
  <c r="X87" i="9" s="1"/>
  <c r="Z65" i="4"/>
  <c r="V67" i="4"/>
  <c r="Z10" i="5"/>
  <c r="V12" i="5"/>
  <c r="Z27" i="5"/>
  <c r="V30" i="5"/>
  <c r="Z8" i="6"/>
  <c r="V10" i="6"/>
  <c r="Z25" i="6"/>
  <c r="V27" i="6"/>
  <c r="W35" i="6"/>
  <c r="W28" i="3"/>
  <c r="V14" i="3"/>
  <c r="V32" i="3"/>
  <c r="V5" i="4"/>
  <c r="V23" i="4"/>
  <c r="V41" i="4"/>
  <c r="V59" i="4"/>
  <c r="V5" i="5"/>
  <c r="V22" i="5"/>
  <c r="V39" i="5"/>
  <c r="V20" i="6"/>
  <c r="Z35" i="6"/>
  <c r="V37" i="6"/>
  <c r="V39" i="6"/>
  <c r="O17" i="8"/>
  <c r="W117" i="9"/>
  <c r="V12" i="6"/>
  <c r="V30" i="6"/>
  <c r="V42" i="6"/>
  <c r="W7" i="3"/>
  <c r="W24" i="3"/>
  <c r="R50" i="9"/>
  <c r="X50" i="9" s="1"/>
  <c r="W15" i="4"/>
  <c r="R66" i="9"/>
  <c r="X66" i="9" s="1"/>
  <c r="W33" i="4"/>
  <c r="R82" i="9"/>
  <c r="X82" i="9" s="1"/>
  <c r="W51" i="4"/>
  <c r="R98" i="9"/>
  <c r="X98" i="9" s="1"/>
  <c r="W69" i="4"/>
  <c r="R114" i="9"/>
  <c r="X114" i="9" s="1"/>
  <c r="W14" i="5"/>
  <c r="R130" i="9"/>
  <c r="X130" i="9" s="1"/>
  <c r="W32" i="5"/>
  <c r="R146" i="9"/>
  <c r="X146" i="9" s="1"/>
  <c r="R162" i="9"/>
  <c r="X162" i="9" s="1"/>
  <c r="P180" i="9"/>
  <c r="W180" i="9" s="1"/>
  <c r="Z46" i="6"/>
  <c r="W46" i="6"/>
  <c r="R18" i="9"/>
  <c r="X18" i="9" s="1"/>
  <c r="R34" i="9"/>
  <c r="X34" i="9" s="1"/>
  <c r="Z24" i="3"/>
  <c r="V26" i="3"/>
  <c r="R27" i="9"/>
  <c r="X27" i="9" s="1"/>
  <c r="W34" i="3"/>
  <c r="Z42" i="3"/>
  <c r="V44" i="3"/>
  <c r="R43" i="9"/>
  <c r="X43" i="9" s="1"/>
  <c r="W7" i="4"/>
  <c r="Z15" i="4"/>
  <c r="V17" i="4"/>
  <c r="R59" i="9"/>
  <c r="X59" i="9" s="1"/>
  <c r="R75" i="9"/>
  <c r="X75" i="9" s="1"/>
  <c r="W43" i="4"/>
  <c r="R91" i="9"/>
  <c r="X91" i="9" s="1"/>
  <c r="W61" i="4"/>
  <c r="Z69" i="4"/>
  <c r="V71" i="4"/>
  <c r="R107" i="9"/>
  <c r="X107" i="9" s="1"/>
  <c r="W7" i="5"/>
  <c r="Z14" i="5"/>
  <c r="V17" i="5"/>
  <c r="R123" i="9"/>
  <c r="X123" i="9" s="1"/>
  <c r="W24" i="5"/>
  <c r="Z32" i="5"/>
  <c r="V34" i="5"/>
  <c r="R139" i="9"/>
  <c r="X139" i="9" s="1"/>
  <c r="W5" i="6"/>
  <c r="V14" i="6"/>
  <c r="R155" i="9"/>
  <c r="X155" i="9" s="1"/>
  <c r="W22" i="6"/>
  <c r="V32" i="6"/>
  <c r="R171" i="9"/>
  <c r="X171" i="9" s="1"/>
  <c r="W44" i="6"/>
  <c r="Z34" i="3"/>
  <c r="V36" i="3"/>
  <c r="Z7" i="4"/>
  <c r="V9" i="4"/>
  <c r="Z25" i="4"/>
  <c r="V27" i="4"/>
  <c r="W35" i="4"/>
  <c r="Z43" i="4"/>
  <c r="V46" i="4"/>
  <c r="W53" i="4"/>
  <c r="Z61" i="4"/>
  <c r="V64" i="4"/>
  <c r="Z7" i="5"/>
  <c r="V9" i="5"/>
  <c r="R116" i="9"/>
  <c r="X116" i="9" s="1"/>
  <c r="Z24" i="5"/>
  <c r="V26" i="5"/>
  <c r="R132" i="9"/>
  <c r="X132" i="9" s="1"/>
  <c r="Z5" i="6"/>
  <c r="V7" i="6"/>
  <c r="Z22" i="6"/>
  <c r="V24" i="6"/>
  <c r="R173" i="9"/>
  <c r="X173" i="9" s="1"/>
  <c r="Z44" i="6"/>
  <c r="W39" i="3"/>
  <c r="W42" i="3"/>
  <c r="Z7" i="3"/>
  <c r="V9" i="3"/>
  <c r="R11" i="9"/>
  <c r="X11" i="9" s="1"/>
  <c r="W17" i="3"/>
  <c r="Z17" i="3"/>
  <c r="V19" i="3"/>
  <c r="V11" i="3"/>
  <c r="V29" i="3"/>
  <c r="V46" i="3"/>
  <c r="V19" i="4"/>
  <c r="Z35" i="4"/>
  <c r="V37" i="4"/>
  <c r="Z53" i="4"/>
  <c r="V56" i="4"/>
  <c r="V73" i="4"/>
  <c r="V19" i="5"/>
  <c r="V36" i="5"/>
  <c r="V17" i="6"/>
  <c r="V34" i="6"/>
  <c r="R175" i="9"/>
  <c r="X175" i="9" s="1"/>
  <c r="V117" i="9"/>
  <c r="V139" i="9"/>
  <c r="R180" i="9"/>
  <c r="X180" i="9" s="1"/>
  <c r="V141" i="9"/>
  <c r="V112" i="9"/>
  <c r="V133" i="9"/>
  <c r="V73" i="9"/>
  <c r="V144" i="9"/>
  <c r="V120" i="9"/>
  <c r="V145" i="9"/>
  <c r="V35" i="9"/>
  <c r="V37" i="9"/>
  <c r="V39" i="9"/>
  <c r="V41" i="9"/>
  <c r="V43" i="9"/>
  <c r="V45" i="9"/>
  <c r="V47" i="9"/>
  <c r="V49" i="9"/>
  <c r="V51" i="9"/>
  <c r="V111" i="9"/>
  <c r="V148" i="9"/>
  <c r="V119" i="9"/>
  <c r="V149" i="9"/>
  <c r="V150" i="9"/>
  <c r="V79" i="9"/>
  <c r="V153" i="9"/>
  <c r="Z45" i="6"/>
  <c r="V155" i="9"/>
  <c r="V34" i="9"/>
  <c r="V36" i="9"/>
  <c r="V38" i="9"/>
  <c r="V40" i="9"/>
  <c r="V42" i="9"/>
  <c r="V44" i="9"/>
  <c r="V46" i="9"/>
  <c r="V48" i="9"/>
  <c r="V50" i="9"/>
  <c r="V154" i="9"/>
  <c r="V118" i="9"/>
  <c r="V146" i="9"/>
  <c r="V116" i="9"/>
  <c r="V114" i="9"/>
  <c r="V138" i="9"/>
  <c r="V152" i="9"/>
  <c r="P38" i="9" l="1"/>
  <c r="Z43" i="3"/>
  <c r="W43" i="3"/>
  <c r="P165" i="9"/>
  <c r="Z30" i="6"/>
  <c r="W30" i="6"/>
  <c r="P115" i="9"/>
  <c r="Z12" i="5"/>
  <c r="W12" i="5"/>
  <c r="P156" i="9"/>
  <c r="Z20" i="6"/>
  <c r="W20" i="6"/>
  <c r="P28" i="9"/>
  <c r="Z32" i="3"/>
  <c r="W32" i="3"/>
  <c r="P22" i="9"/>
  <c r="Z25" i="3"/>
  <c r="W25" i="3"/>
  <c r="P61" i="9"/>
  <c r="Z24" i="4"/>
  <c r="W24" i="4"/>
  <c r="P177" i="9"/>
  <c r="Z43" i="6"/>
  <c r="W43" i="6"/>
  <c r="P174" i="9"/>
  <c r="Z39" i="6"/>
  <c r="W39" i="6"/>
  <c r="P138" i="9"/>
  <c r="Z37" i="5"/>
  <c r="W37" i="5"/>
  <c r="P74" i="9"/>
  <c r="Z38" i="4"/>
  <c r="W38" i="4"/>
  <c r="P111" i="9"/>
  <c r="Z8" i="5"/>
  <c r="W8" i="5"/>
  <c r="P125" i="9"/>
  <c r="Z23" i="5"/>
  <c r="W23" i="5"/>
  <c r="P12" i="9"/>
  <c r="Z14" i="3"/>
  <c r="W14" i="3"/>
  <c r="P99" i="9"/>
  <c r="Z67" i="4"/>
  <c r="W67" i="4"/>
  <c r="P6" i="9"/>
  <c r="Z8" i="3"/>
  <c r="W8" i="3"/>
  <c r="P100" i="9"/>
  <c r="Z68" i="4"/>
  <c r="W68" i="4"/>
  <c r="P96" i="9"/>
  <c r="W64" i="4"/>
  <c r="Z64" i="4"/>
  <c r="P3" i="9"/>
  <c r="Z5" i="3"/>
  <c r="W5" i="3"/>
  <c r="P118" i="9"/>
  <c r="Z15" i="5"/>
  <c r="W15" i="5"/>
  <c r="P84" i="9"/>
  <c r="Z50" i="4"/>
  <c r="W50" i="4"/>
  <c r="P103" i="9"/>
  <c r="Z71" i="4"/>
  <c r="W71" i="4"/>
  <c r="P77" i="9"/>
  <c r="Z42" i="4"/>
  <c r="W42" i="4"/>
  <c r="P153" i="9"/>
  <c r="Z17" i="6"/>
  <c r="W17" i="6"/>
  <c r="P122" i="9"/>
  <c r="Z20" i="5"/>
  <c r="W20" i="5"/>
  <c r="P60" i="9"/>
  <c r="Z23" i="4"/>
  <c r="W23" i="4"/>
  <c r="P140" i="9"/>
  <c r="Z39" i="5"/>
  <c r="W39" i="5"/>
  <c r="P95" i="9"/>
  <c r="Z62" i="4"/>
  <c r="W62" i="4"/>
  <c r="P167" i="9"/>
  <c r="Z32" i="6"/>
  <c r="W32" i="6"/>
  <c r="P10" i="9"/>
  <c r="Z12" i="3"/>
  <c r="W12" i="3"/>
  <c r="P63" i="9"/>
  <c r="Z26" i="4"/>
  <c r="W26" i="4"/>
  <c r="P29" i="9"/>
  <c r="Z33" i="3"/>
  <c r="W33" i="3"/>
  <c r="P102" i="9"/>
  <c r="Z70" i="4"/>
  <c r="W70" i="4"/>
  <c r="P93" i="9"/>
  <c r="Z60" i="4"/>
  <c r="W60" i="4"/>
  <c r="P89" i="9"/>
  <c r="Z56" i="4"/>
  <c r="W56" i="4"/>
  <c r="P149" i="9"/>
  <c r="Z12" i="6"/>
  <c r="W12" i="6"/>
  <c r="P19" i="9"/>
  <c r="Z22" i="3"/>
  <c r="W22" i="3"/>
  <c r="P57" i="9"/>
  <c r="Z19" i="4"/>
  <c r="W19" i="4"/>
  <c r="P80" i="9"/>
  <c r="W46" i="4"/>
  <c r="Z46" i="4"/>
  <c r="P83" i="9"/>
  <c r="Z49" i="4"/>
  <c r="W49" i="4"/>
  <c r="P25" i="9"/>
  <c r="Z29" i="3"/>
  <c r="W29" i="3"/>
  <c r="P108" i="9"/>
  <c r="Z5" i="5"/>
  <c r="W5" i="5"/>
  <c r="P121" i="9"/>
  <c r="Z19" i="5"/>
  <c r="W19" i="5"/>
  <c r="P36" i="9"/>
  <c r="Z41" i="3"/>
  <c r="W41" i="3"/>
  <c r="P68" i="9"/>
  <c r="W31" i="4"/>
  <c r="Z31" i="4"/>
  <c r="P23" i="9"/>
  <c r="Z26" i="3"/>
  <c r="W26" i="3"/>
  <c r="P160" i="9"/>
  <c r="W24" i="6"/>
  <c r="Z24" i="6"/>
  <c r="P58" i="9"/>
  <c r="Z20" i="4"/>
  <c r="W20" i="4"/>
  <c r="P79" i="9"/>
  <c r="Z44" i="4"/>
  <c r="W44" i="4"/>
  <c r="P4" i="9"/>
  <c r="Z6" i="3"/>
  <c r="W6" i="3"/>
  <c r="P137" i="9"/>
  <c r="Z36" i="5"/>
  <c r="W36" i="5"/>
  <c r="P164" i="9"/>
  <c r="Z29" i="6"/>
  <c r="W29" i="6"/>
  <c r="P9" i="9"/>
  <c r="Z11" i="3"/>
  <c r="W11" i="3"/>
  <c r="P144" i="9"/>
  <c r="W7" i="6"/>
  <c r="Z7" i="6"/>
  <c r="P92" i="9"/>
  <c r="Z59" i="4"/>
  <c r="W59" i="4"/>
  <c r="P64" i="9"/>
  <c r="W27" i="4"/>
  <c r="Z27" i="4"/>
  <c r="P55" i="9"/>
  <c r="Z17" i="4"/>
  <c r="W17" i="4"/>
  <c r="P147" i="9"/>
  <c r="Z10" i="6"/>
  <c r="W10" i="6"/>
  <c r="P106" i="9"/>
  <c r="Z74" i="4"/>
  <c r="W74" i="4"/>
  <c r="P42" i="9"/>
  <c r="Z47" i="3"/>
  <c r="W47" i="3"/>
  <c r="P168" i="9"/>
  <c r="Z33" i="6"/>
  <c r="W33" i="6"/>
  <c r="P47" i="9"/>
  <c r="Z8" i="4"/>
  <c r="W8" i="4"/>
  <c r="P13" i="9"/>
  <c r="Z16" i="3"/>
  <c r="W16" i="3"/>
  <c r="P86" i="9"/>
  <c r="Z52" i="4"/>
  <c r="W52" i="4"/>
  <c r="P73" i="9"/>
  <c r="Z37" i="4"/>
  <c r="W37" i="4"/>
  <c r="P41" i="9"/>
  <c r="Z46" i="3"/>
  <c r="W46" i="3"/>
  <c r="P124" i="9"/>
  <c r="Z22" i="5"/>
  <c r="W22" i="5"/>
  <c r="P45" i="9"/>
  <c r="Z6" i="4"/>
  <c r="W6" i="4"/>
  <c r="P109" i="9"/>
  <c r="Z6" i="5"/>
  <c r="W6" i="5"/>
  <c r="P163" i="9"/>
  <c r="Z27" i="6"/>
  <c r="W27" i="6"/>
  <c r="P151" i="9"/>
  <c r="Z14" i="6"/>
  <c r="W14" i="6"/>
  <c r="P67" i="9"/>
  <c r="Z30" i="4"/>
  <c r="W30" i="4"/>
  <c r="P105" i="9"/>
  <c r="Z73" i="4"/>
  <c r="W73" i="4"/>
  <c r="P16" i="9"/>
  <c r="W19" i="3"/>
  <c r="Z19" i="3"/>
  <c r="P135" i="9"/>
  <c r="Z34" i="5"/>
  <c r="W34" i="5"/>
  <c r="P76" i="9"/>
  <c r="Z41" i="4"/>
  <c r="W41" i="4"/>
  <c r="P157" i="9"/>
  <c r="Z21" i="6"/>
  <c r="W21" i="6"/>
  <c r="P148" i="9"/>
  <c r="Z11" i="6"/>
  <c r="W11" i="6"/>
  <c r="P52" i="9"/>
  <c r="Z14" i="4"/>
  <c r="W14" i="4"/>
  <c r="P131" i="9"/>
  <c r="Z30" i="5"/>
  <c r="P169" i="9"/>
  <c r="Z34" i="6"/>
  <c r="W34" i="6"/>
  <c r="P128" i="9"/>
  <c r="W26" i="5"/>
  <c r="Z26" i="5"/>
  <c r="P48" i="9"/>
  <c r="W9" i="4"/>
  <c r="Z9" i="4"/>
  <c r="P51" i="9"/>
  <c r="Z12" i="4"/>
  <c r="W12" i="4"/>
  <c r="P31" i="9"/>
  <c r="Z35" i="3"/>
  <c r="W35" i="3"/>
  <c r="P20" i="9"/>
  <c r="Z23" i="3"/>
  <c r="W23" i="3"/>
  <c r="P70" i="9"/>
  <c r="Z34" i="4"/>
  <c r="W34" i="4"/>
  <c r="P39" i="9"/>
  <c r="Z44" i="3"/>
  <c r="W44" i="3"/>
  <c r="P176" i="9"/>
  <c r="Z42" i="6"/>
  <c r="W42" i="6"/>
  <c r="W37" i="6"/>
  <c r="P172" i="9"/>
  <c r="Z37" i="6"/>
  <c r="P90" i="9"/>
  <c r="Z57" i="4"/>
  <c r="W57" i="4"/>
  <c r="P26" i="9"/>
  <c r="Z30" i="3"/>
  <c r="W30" i="3"/>
  <c r="P15" i="9"/>
  <c r="Z18" i="3"/>
  <c r="W18" i="3"/>
  <c r="P54" i="9"/>
  <c r="Z16" i="4"/>
  <c r="W16" i="4"/>
  <c r="P141" i="9"/>
  <c r="Z40" i="5"/>
  <c r="W40" i="5"/>
  <c r="P7" i="9"/>
  <c r="Z9" i="3"/>
  <c r="W9" i="3"/>
  <c r="P112" i="9"/>
  <c r="W9" i="5"/>
  <c r="Z9" i="5"/>
  <c r="P32" i="9"/>
  <c r="W36" i="3"/>
  <c r="Z36" i="3"/>
  <c r="P119" i="9"/>
  <c r="Z17" i="5"/>
  <c r="W17" i="5"/>
  <c r="P44" i="9"/>
  <c r="Z5" i="4"/>
  <c r="W5" i="4"/>
  <c r="P35" i="9"/>
  <c r="Z40" i="3"/>
  <c r="W40" i="3"/>
  <c r="P154" i="9"/>
  <c r="Z18" i="6"/>
  <c r="W18" i="6"/>
  <c r="W163" i="9" l="1"/>
  <c r="R163" i="9"/>
  <c r="X163" i="9" s="1"/>
  <c r="W57" i="9"/>
  <c r="R57" i="9"/>
  <c r="X57" i="9" s="1"/>
  <c r="W103" i="9"/>
  <c r="R103" i="9"/>
  <c r="X103" i="9" s="1"/>
  <c r="W22" i="9"/>
  <c r="R22" i="9"/>
  <c r="X22" i="9" s="1"/>
  <c r="W106" i="9"/>
  <c r="R106" i="9"/>
  <c r="X106" i="9" s="1"/>
  <c r="W121" i="9"/>
  <c r="R121" i="9"/>
  <c r="X121" i="9" s="1"/>
  <c r="W140" i="9"/>
  <c r="R140" i="9"/>
  <c r="X140" i="9" s="1"/>
  <c r="W74" i="9"/>
  <c r="R74" i="9"/>
  <c r="X74" i="9" s="1"/>
  <c r="W90" i="9"/>
  <c r="R90" i="9"/>
  <c r="X90" i="9" s="1"/>
  <c r="W29" i="9"/>
  <c r="R29" i="9"/>
  <c r="X29" i="9" s="1"/>
  <c r="W6" i="9"/>
  <c r="R6" i="9"/>
  <c r="X6" i="9" s="1"/>
  <c r="W172" i="9"/>
  <c r="R172" i="9"/>
  <c r="X172" i="9" s="1"/>
  <c r="W109" i="9"/>
  <c r="R109" i="9"/>
  <c r="X109" i="9" s="1"/>
  <c r="W9" i="9"/>
  <c r="R9" i="9"/>
  <c r="X9" i="9" s="1"/>
  <c r="W19" i="9"/>
  <c r="R19" i="9"/>
  <c r="X19" i="9" s="1"/>
  <c r="W84" i="9"/>
  <c r="R84" i="9"/>
  <c r="X84" i="9" s="1"/>
  <c r="W28" i="9"/>
  <c r="R28" i="9"/>
  <c r="X28" i="9" s="1"/>
  <c r="W157" i="9"/>
  <c r="R157" i="9"/>
  <c r="X157" i="9" s="1"/>
  <c r="W32" i="9"/>
  <c r="R32" i="9"/>
  <c r="X32" i="9" s="1"/>
  <c r="W154" i="9"/>
  <c r="R154" i="9"/>
  <c r="X154" i="9" s="1"/>
  <c r="W58" i="9"/>
  <c r="R58" i="9"/>
  <c r="X58" i="9" s="1"/>
  <c r="W35" i="9"/>
  <c r="R35" i="9"/>
  <c r="X35" i="9" s="1"/>
  <c r="W31" i="9"/>
  <c r="R31" i="9"/>
  <c r="X31" i="9" s="1"/>
  <c r="W16" i="9"/>
  <c r="R16" i="9"/>
  <c r="X16" i="9" s="1"/>
  <c r="W147" i="9"/>
  <c r="R147" i="9"/>
  <c r="X147" i="9" s="1"/>
  <c r="W108" i="9"/>
  <c r="R108" i="9"/>
  <c r="X108" i="9" s="1"/>
  <c r="W60" i="9"/>
  <c r="R60" i="9"/>
  <c r="X60" i="9" s="1"/>
  <c r="W138" i="9"/>
  <c r="R138" i="9"/>
  <c r="X138" i="9" s="1"/>
  <c r="W7" i="9"/>
  <c r="R7" i="9"/>
  <c r="X7" i="9" s="1"/>
  <c r="W52" i="9"/>
  <c r="R52" i="9"/>
  <c r="X52" i="9" s="1"/>
  <c r="W13" i="9"/>
  <c r="R13" i="9"/>
  <c r="X13" i="9" s="1"/>
  <c r="W160" i="9"/>
  <c r="R160" i="9"/>
  <c r="X160" i="9" s="1"/>
  <c r="W63" i="9"/>
  <c r="R63" i="9"/>
  <c r="X63" i="9" s="1"/>
  <c r="W99" i="9"/>
  <c r="R99" i="9"/>
  <c r="X99" i="9" s="1"/>
  <c r="W15" i="9"/>
  <c r="R15" i="9"/>
  <c r="X15" i="9" s="1"/>
  <c r="W20" i="9"/>
  <c r="R20" i="9"/>
  <c r="X20" i="9" s="1"/>
  <c r="W131" i="9"/>
  <c r="R131" i="9"/>
  <c r="X131" i="9" s="1"/>
  <c r="W51" i="9"/>
  <c r="R51" i="9"/>
  <c r="X51" i="9" s="1"/>
  <c r="W45" i="9"/>
  <c r="R45" i="9"/>
  <c r="X45" i="9" s="1"/>
  <c r="W164" i="9"/>
  <c r="R164" i="9"/>
  <c r="X164" i="9" s="1"/>
  <c r="W149" i="9"/>
  <c r="R149" i="9"/>
  <c r="X149" i="9" s="1"/>
  <c r="W118" i="9"/>
  <c r="R118" i="9"/>
  <c r="X118" i="9" s="1"/>
  <c r="W156" i="9"/>
  <c r="R156" i="9"/>
  <c r="X156" i="9" s="1"/>
  <c r="W174" i="9"/>
  <c r="R174" i="9"/>
  <c r="X174" i="9" s="1"/>
  <c r="W144" i="9"/>
  <c r="R144" i="9"/>
  <c r="X144" i="9" s="1"/>
  <c r="W44" i="9"/>
  <c r="R44" i="9"/>
  <c r="X44" i="9" s="1"/>
  <c r="W176" i="9"/>
  <c r="R176" i="9"/>
  <c r="X176" i="9" s="1"/>
  <c r="W148" i="9"/>
  <c r="R148" i="9"/>
  <c r="X148" i="9" s="1"/>
  <c r="W47" i="9"/>
  <c r="R47" i="9"/>
  <c r="X47" i="9" s="1"/>
  <c r="W23" i="9"/>
  <c r="R23" i="9"/>
  <c r="X23" i="9" s="1"/>
  <c r="W10" i="9"/>
  <c r="R10" i="9"/>
  <c r="X10" i="9" s="1"/>
  <c r="W12" i="9"/>
  <c r="R12" i="9"/>
  <c r="X12" i="9" s="1"/>
  <c r="W135" i="9"/>
  <c r="R135" i="9"/>
  <c r="X135" i="9" s="1"/>
  <c r="W55" i="9"/>
  <c r="R55" i="9"/>
  <c r="X55" i="9" s="1"/>
  <c r="W122" i="9"/>
  <c r="R122" i="9"/>
  <c r="X122" i="9" s="1"/>
  <c r="W48" i="9"/>
  <c r="R48" i="9"/>
  <c r="X48" i="9" s="1"/>
  <c r="W124" i="9"/>
  <c r="R124" i="9"/>
  <c r="X124" i="9" s="1"/>
  <c r="W137" i="9"/>
  <c r="R137" i="9"/>
  <c r="X137" i="9" s="1"/>
  <c r="W89" i="9"/>
  <c r="R89" i="9"/>
  <c r="X89" i="9" s="1"/>
  <c r="W3" i="9"/>
  <c r="R3" i="9"/>
  <c r="X3" i="9" s="1"/>
  <c r="W115" i="9"/>
  <c r="R115" i="9"/>
  <c r="X115" i="9" s="1"/>
  <c r="W86" i="9"/>
  <c r="R86" i="9"/>
  <c r="X86" i="9" s="1"/>
  <c r="W141" i="9"/>
  <c r="R141" i="9"/>
  <c r="X141" i="9" s="1"/>
  <c r="W105" i="9"/>
  <c r="R105" i="9"/>
  <c r="X105" i="9" s="1"/>
  <c r="W25" i="9"/>
  <c r="R25" i="9"/>
  <c r="X25" i="9" s="1"/>
  <c r="W54" i="9"/>
  <c r="R54" i="9"/>
  <c r="X54" i="9" s="1"/>
  <c r="W119" i="9"/>
  <c r="R119" i="9"/>
  <c r="X119" i="9" s="1"/>
  <c r="W39" i="9"/>
  <c r="R39" i="9"/>
  <c r="X39" i="9" s="1"/>
  <c r="W67" i="9"/>
  <c r="R67" i="9"/>
  <c r="X67" i="9" s="1"/>
  <c r="W64" i="9"/>
  <c r="R64" i="9"/>
  <c r="X64" i="9" s="1"/>
  <c r="W83" i="9"/>
  <c r="R83" i="9"/>
  <c r="X83" i="9" s="1"/>
  <c r="W153" i="9"/>
  <c r="R153" i="9"/>
  <c r="X153" i="9" s="1"/>
  <c r="W177" i="9"/>
  <c r="R177" i="9"/>
  <c r="X177" i="9" s="1"/>
  <c r="W168" i="9"/>
  <c r="R168" i="9"/>
  <c r="X168" i="9" s="1"/>
  <c r="W68" i="9"/>
  <c r="R68" i="9"/>
  <c r="X68" i="9" s="1"/>
  <c r="W167" i="9"/>
  <c r="R167" i="9"/>
  <c r="X167" i="9" s="1"/>
  <c r="W125" i="9"/>
  <c r="R125" i="9"/>
  <c r="X125" i="9" s="1"/>
  <c r="W128" i="9"/>
  <c r="R128" i="9"/>
  <c r="X128" i="9" s="1"/>
  <c r="W41" i="9"/>
  <c r="R41" i="9"/>
  <c r="X41" i="9" s="1"/>
  <c r="W4" i="9"/>
  <c r="R4" i="9"/>
  <c r="X4" i="9" s="1"/>
  <c r="W93" i="9"/>
  <c r="R93" i="9"/>
  <c r="X93" i="9" s="1"/>
  <c r="W96" i="9"/>
  <c r="R96" i="9"/>
  <c r="X96" i="9" s="1"/>
  <c r="W165" i="9"/>
  <c r="R165" i="9"/>
  <c r="X165" i="9" s="1"/>
  <c r="W151" i="9"/>
  <c r="R151" i="9"/>
  <c r="X151" i="9" s="1"/>
  <c r="W80" i="9"/>
  <c r="R80" i="9"/>
  <c r="X80" i="9" s="1"/>
  <c r="W77" i="9"/>
  <c r="R77" i="9"/>
  <c r="X77" i="9" s="1"/>
  <c r="W61" i="9"/>
  <c r="R61" i="9"/>
  <c r="X61" i="9" s="1"/>
  <c r="W76" i="9"/>
  <c r="R76" i="9"/>
  <c r="X76" i="9" s="1"/>
  <c r="W42" i="9"/>
  <c r="R42" i="9"/>
  <c r="X42" i="9" s="1"/>
  <c r="W36" i="9"/>
  <c r="R36" i="9"/>
  <c r="X36" i="9" s="1"/>
  <c r="W95" i="9"/>
  <c r="R95" i="9"/>
  <c r="X95" i="9" s="1"/>
  <c r="W111" i="9"/>
  <c r="R111" i="9"/>
  <c r="X111" i="9" s="1"/>
  <c r="W70" i="9"/>
  <c r="R70" i="9"/>
  <c r="X70" i="9" s="1"/>
  <c r="W92" i="9"/>
  <c r="R92" i="9"/>
  <c r="X92" i="9" s="1"/>
  <c r="W26" i="9"/>
  <c r="R26" i="9"/>
  <c r="X26" i="9" s="1"/>
  <c r="W112" i="9"/>
  <c r="R112" i="9"/>
  <c r="X112" i="9" s="1"/>
  <c r="W169" i="9"/>
  <c r="R169" i="9"/>
  <c r="X169" i="9" s="1"/>
  <c r="W73" i="9"/>
  <c r="R73" i="9"/>
  <c r="X73" i="9" s="1"/>
  <c r="W79" i="9"/>
  <c r="R79" i="9"/>
  <c r="X79" i="9" s="1"/>
  <c r="W102" i="9"/>
  <c r="R102" i="9"/>
  <c r="X102" i="9" s="1"/>
  <c r="W100" i="9"/>
  <c r="R100" i="9"/>
  <c r="X100" i="9" s="1"/>
  <c r="W38" i="9"/>
  <c r="R38" i="9"/>
  <c r="X38" i="9" s="1"/>
</calcChain>
</file>

<file path=xl/sharedStrings.xml><?xml version="1.0" encoding="utf-8"?>
<sst xmlns="http://schemas.openxmlformats.org/spreadsheetml/2006/main" count="1254" uniqueCount="259">
  <si>
    <t>T_Transformer (°C)</t>
  </si>
  <si>
    <t>T_Heatsink (°C)</t>
  </si>
  <si>
    <t>Observations</t>
  </si>
  <si>
    <t>I_sec_RMS (mA)</t>
  </si>
  <si>
    <t>Phase Angle°</t>
  </si>
  <si>
    <t>Real Power_scope (W)</t>
  </si>
  <si>
    <t>P_input (W)</t>
  </si>
  <si>
    <t>20kHz</t>
  </si>
  <si>
    <t>7V</t>
  </si>
  <si>
    <t>SQUARE MODE</t>
  </si>
  <si>
    <t>duty cycle 100%</t>
  </si>
  <si>
    <t>FLIR</t>
  </si>
  <si>
    <t>thermocouple + multimeter</t>
  </si>
  <si>
    <t>5kHz</t>
  </si>
  <si>
    <t>10kHz</t>
  </si>
  <si>
    <t>4V</t>
  </si>
  <si>
    <t>Exp 1</t>
  </si>
  <si>
    <t>Exp 2.1</t>
  </si>
  <si>
    <t>Moyenne</t>
  </si>
  <si>
    <t>Exp 2.2</t>
  </si>
  <si>
    <t>Exp 2.3</t>
  </si>
  <si>
    <t>Instruments</t>
  </si>
  <si>
    <t>Instrument</t>
  </si>
  <si>
    <t>Oscilloscope</t>
  </si>
  <si>
    <t>Power analysis / FFT</t>
  </si>
  <si>
    <t>T_heatsink</t>
  </si>
  <si>
    <t>u(P_input) ±%</t>
  </si>
  <si>
    <t>CONDITIONS</t>
  </si>
  <si>
    <t>Mode</t>
  </si>
  <si>
    <t>Burst Frequency (kHz)</t>
  </si>
  <si>
    <t>DutyCycle (%)</t>
  </si>
  <si>
    <t>V_Buck_Average (V)</t>
  </si>
  <si>
    <t>V_Buck_Ripple (mV)</t>
  </si>
  <si>
    <t>Relative_Ripple (%)</t>
  </si>
  <si>
    <t>Load_Impedance (Ohm)</t>
  </si>
  <si>
    <t>VxI_RMS (W)</t>
  </si>
  <si>
    <t>Apparent Power (VA)</t>
  </si>
  <si>
    <t>Power factor</t>
  </si>
  <si>
    <t>Real Power(W)</t>
  </si>
  <si>
    <t>Power Factor_scope</t>
  </si>
  <si>
    <t>THD (%)</t>
  </si>
  <si>
    <t>V1 (Vrms)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</si>
  <si>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</si>
  <si>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</si>
  <si>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</si>
  <si>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</si>
  <si>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</si>
  <si>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</si>
  <si>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</si>
  <si>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</si>
  <si>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</si>
  <si>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T_MOSFET (°C)</t>
  </si>
  <si>
    <t>Photo</t>
  </si>
  <si>
    <t>SQUARE</t>
  </si>
  <si>
    <t>PIC_1815_16052026</t>
  </si>
  <si>
    <t>stable</t>
  </si>
  <si>
    <t>PIC_1816_16052026</t>
  </si>
  <si>
    <t>PIC_1816_2_16052026</t>
  </si>
  <si>
    <t>PIC_1817_16052026</t>
  </si>
  <si>
    <t>PIC_1817_2_16052026</t>
  </si>
  <si>
    <t>PIC_1818_16052026</t>
  </si>
  <si>
    <t>PIC_1818_2_16052026</t>
  </si>
  <si>
    <t>PIC_1819_16052026</t>
  </si>
  <si>
    <t>PIC_1820_16052026</t>
  </si>
  <si>
    <t>PIC_1820_2_16052026</t>
  </si>
  <si>
    <t>Exp 2.1 - DBD V sweep</t>
  </si>
  <si>
    <t>PIC_1840_18052026</t>
  </si>
  <si>
    <t>PIC_1245_19052026</t>
  </si>
  <si>
    <t>PULSE</t>
  </si>
  <si>
    <t>PIC_1814_19052026</t>
  </si>
  <si>
    <t>PIC_1905_19052026</t>
  </si>
  <si>
    <t>PIC_1924_19052026</t>
  </si>
  <si>
    <t>PIC_1740_18052026</t>
  </si>
  <si>
    <t>PIC_1832_18052026</t>
  </si>
  <si>
    <t>triangle</t>
  </si>
  <si>
    <t>PIC_1645_19052026</t>
  </si>
  <si>
    <t>Exp 2.2 - DBD Freq sweep</t>
  </si>
  <si>
    <t>/</t>
  </si>
  <si>
    <t>-</t>
  </si>
  <si>
    <t>Exp 2.3 - DBD DutyCycle sweep</t>
  </si>
  <si>
    <t>PIC_1725_19052026</t>
  </si>
  <si>
    <t>CV V_Buck (%)</t>
  </si>
  <si>
    <t>Run #</t>
  </si>
  <si>
    <t>V_sec_1 (kV)</t>
  </si>
  <si>
    <t>V_sec_2 (kV)</t>
  </si>
  <si>
    <t>V_sec_3 (kV)</t>
  </si>
  <si>
    <t>CV (%)</t>
  </si>
  <si>
    <t>Notes</t>
  </si>
  <si>
    <t>Real Power_scope_1 (W)</t>
  </si>
  <si>
    <t>Real Power_scope_2 (W)</t>
  </si>
  <si>
    <t>Real Power_scope_3 (W)</t>
  </si>
  <si>
    <t>CV_P (%)</t>
  </si>
  <si>
    <t>STAT</t>
  </si>
  <si>
    <t>Exp</t>
  </si>
  <si>
    <t>Duty (%)</t>
  </si>
  <si>
    <t>V_buck_avg (V)</t>
  </si>
  <si>
    <t>I_prim (A)</t>
  </si>
  <si>
    <t>V_sec_pp (kV)</t>
  </si>
  <si>
    <t>V_sec_RMS (kV)</t>
  </si>
  <si>
    <t>±V_sec (kV)</t>
  </si>
  <si>
    <t>Equipment and measurement uncertainties</t>
  </si>
  <si>
    <t>Role / Channel</t>
  </si>
  <si>
    <t>Model</t>
  </si>
  <si>
    <t>Serial no.</t>
  </si>
  <si>
    <t>Ratio / Range</t>
  </si>
  <si>
    <t>Uncertainty (±%)</t>
  </si>
  <si>
    <t>Last calibration</t>
  </si>
  <si>
    <t>High-voltage probe</t>
  </si>
  <si>
    <t>CH1 — secondary</t>
  </si>
  <si>
    <t>Current probe</t>
  </si>
  <si>
    <t>CH2 — secondary</t>
  </si>
  <si>
    <t>Voltage probe</t>
  </si>
  <si>
    <t>CH3 — primary</t>
  </si>
  <si>
    <t>FLIR thermal camera</t>
  </si>
  <si>
    <t>T_transformer</t>
  </si>
  <si>
    <t>Thermocouple + multimeter</t>
  </si>
  <si>
    <t>Power supply (buck)</t>
  </si>
  <si>
    <t>V_buck / I_primary</t>
  </si>
  <si>
    <t>HV transformer</t>
  </si>
  <si>
    <t>Voltage step-up</t>
  </si>
  <si>
    <t>DBD reactor</t>
  </si>
  <si>
    <t>Load (gap, dielectric)</t>
  </si>
  <si>
    <t>Uncertainty parameters (used by Data_consolidated)</t>
  </si>
  <si>
    <t>u(V_secondary) ±%</t>
  </si>
  <si>
    <t>u(I_secondary) ±%</t>
  </si>
  <si>
    <t>u(P_real) ±%</t>
  </si>
  <si>
    <t>Exp 1 - Probe characterization (open circuit)</t>
  </si>
  <si>
    <t>PRIMARY</t>
  </si>
  <si>
    <t>HV SECONDARY</t>
  </si>
  <si>
    <t>POWER</t>
  </si>
  <si>
    <t>SIGNAL QUALITY</t>
  </si>
  <si>
    <t>PHYSICAL STATE</t>
  </si>
  <si>
    <t>TRACEABILITY</t>
  </si>
  <si>
    <t>Block</t>
  </si>
  <si>
    <t>Step</t>
  </si>
  <si>
    <t>Turns/branch</t>
  </si>
  <si>
    <t>Frequency (kHz)</t>
  </si>
  <si>
    <t>V_Buck setpoint (V)</t>
  </si>
  <si>
    <t>I_primary (A)</t>
  </si>
  <si>
    <t>V_secondary_pp (kV)</t>
  </si>
  <si>
    <t>V_secondary_RMS (kV)</t>
  </si>
  <si>
    <t>Loss fraction (1-η)</t>
  </si>
  <si>
    <t>cos(φ) vs scope deviation (%)</t>
  </si>
  <si>
    <t>Waveform</t>
  </si>
  <si>
    <t>Stability</t>
  </si>
  <si>
    <t>Plasma state</t>
  </si>
  <si>
    <t>Ignition threshold?</t>
  </si>
  <si>
    <t>BLOCK 1 — Probe load (open circuit) · V-sweep · 20 kHz · DC 100% · SQUARE (10 steps)</t>
  </si>
  <si>
    <t>BLOCK 1</t>
  </si>
  <si>
    <t>BLOCK 2 — Probe load (open circuit) · V-sweep · 10 kHz · DC 100% · SQUARE — MOSFET failure at step 11</t>
  </si>
  <si>
    <t>BLOCK 2</t>
  </si>
  <si>
    <t>Distorted sine</t>
  </si>
  <si>
    <t>Sine for the voltage, two peaks for the current</t>
  </si>
  <si>
    <t>Same</t>
  </si>
  <si>
    <t>MOSFET failure: the generator stopped working correctly because a MOSFET failed; it was replaced (desoldered and resoldered). The failure is most likely due to excessive heating; compared with the other V-sweeps in this configuration, the recorded temperature was abnormally low.</t>
  </si>
  <si>
    <t>BLOCK 3 — Probe load (open circuit) · V-sweep · 15 kHz · DC 100% · SQUARE (10 steps, MOSFET replaced) — several steps show a negative loss fraction (efficiency &gt; 100 %), consistent with a residual phase-shift bias between the probes</t>
  </si>
  <si>
    <t>BLOCK 3</t>
  </si>
  <si>
    <t>BLOCK 4 — Probe load (open circuit) · Freq-sweep 5→60 kHz · 2 V · DC 100% · SQUARE</t>
  </si>
  <si>
    <t>BLOCK 4</t>
  </si>
  <si>
    <t>"Broken" sine</t>
  </si>
  <si>
    <t>unstable</t>
  </si>
  <si>
    <t>Sine</t>
  </si>
  <si>
    <t>Sine with a carrier</t>
  </si>
  <si>
    <t>weakly stable</t>
  </si>
  <si>
    <t>Slightly distorted sine</t>
  </si>
  <si>
    <t>Strongly distorted sine with a strong carrier</t>
  </si>
  <si>
    <t>BLOCK 1 — DBD · V-sweep · 5 kHz · DC 100% · SQUARE · 3 turns/branch — reference point: step 7 (6.3 V) (8 steps)</t>
  </si>
  <si>
    <t>distorted sine</t>
  </si>
  <si>
    <t>sine</t>
  </si>
  <si>
    <t>YES</t>
  </si>
  <si>
    <t>slightly distorted sine</t>
  </si>
  <si>
    <t>Sudden current increase, then decrease -&gt; impedance change?</t>
  </si>
  <si>
    <t>strongly distorted sine</t>
  </si>
  <si>
    <t>close to the current limit (current keeps rising slightly)</t>
  </si>
  <si>
    <t>BLOCK 2 — DBD · V-sweep · 5 kHz · PULSE 1kHz@10%DC · 3 turns/branch (harmonics V1–V10 not recorded for steps 6–8; stopped above 20 V, buck limit)</t>
  </si>
  <si>
    <t>Pulse with damping</t>
  </si>
  <si>
    <t>BLOCK 3 — DBD · V-sweep · 5 kHz · DC 50% · SQUARE · 3 turns/branch (9 steps)</t>
  </si>
  <si>
    <t>noticeable current peak</t>
  </si>
  <si>
    <t>peaked sine</t>
  </si>
  <si>
    <t>3.3 A current limit reached</t>
  </si>
  <si>
    <t>BLOCK 4 — DBD · V-sweep · 10 kHz · DC 100% · SQUARE · 3 turns/branch (stopped at the current limit, step 6)</t>
  </si>
  <si>
    <t>sine - triangle</t>
  </si>
  <si>
    <t>yes</t>
  </si>
  <si>
    <t>Slow current drift (increase)</t>
  </si>
  <si>
    <t>Same, more intense</t>
  </si>
  <si>
    <t>BLOCK 5 — DBD · V-sweep · 15 kHz · DC 100% · SQUARE · 3 turns/branch (5 steps)</t>
  </si>
  <si>
    <t>BLOCK 5</t>
  </si>
  <si>
    <t>unstable - current drift</t>
  </si>
  <si>
    <t>[SECONDARY] BLOCK 6 — DBD · V-sweep · 6.5 kHz · DC 100% · SQUARE · 1 turn/branch — steps 1–4 only; negative real power (current-probe ratio uncertain in this configuration)</t>
  </si>
  <si>
    <t>BLOCK 6</t>
  </si>
  <si>
    <t>[SECONDARY] BLOCK 7 — DBD · V-sweep · 5 kHz · PULSE 1kHz@10%DC · 1 turn/branch — not measured</t>
  </si>
  <si>
    <t>BLOCK 7</t>
  </si>
  <si>
    <t>[SECONDARY] BLOCK 8 — DBD · V-sweep · 5 kHz · DC 50% · SQUARE · 1 turn/branch — not measured</t>
  </si>
  <si>
    <t>BLOCK 8</t>
  </si>
  <si>
    <t>BLOCK 1 — DBD · Freq-sweep 2→60 kHz · 2 V · DC 100% · SQUARE · 3 turns/branch (no plasma at 2 V)</t>
  </si>
  <si>
    <t>near-triangular sine</t>
  </si>
  <si>
    <t>near-triangular</t>
  </si>
  <si>
    <t>slight instability</t>
  </si>
  <si>
    <t>BLOCK 2 — DBD · Freq-sweep 2→60 kHz · 4 V · DC 100% · SQUARE · 3 turns/branch (8/11 steps; 5 V discarded: current drift at 2 kHz)</t>
  </si>
  <si>
    <t>distorted sine with carrier</t>
  </si>
  <si>
    <t>distorted sine - triangle</t>
  </si>
  <si>
    <t>current limit reached</t>
  </si>
  <si>
    <t>[SECONDARY] BLOCK 3 — DBD · Freq-sweep 5→60 kHz · 2 V · DC 100% · SQUARE · 1 turn/branch — 5 kHz step missing; negative real power (current-probe ratio uncertain in this configuration)</t>
  </si>
  <si>
    <t>BLOCK 1 — DBD · DutyCycle-sweep 100→5% · 5 kHz · 2 V · SQUARE (11 steps)</t>
  </si>
  <si>
    <t>BLOCK 2 — DBD · DutyCycle-sweep 100→5% · 10 kHz · 4 V · SQUARE</t>
  </si>
  <si>
    <t>upward current drift</t>
  </si>
  <si>
    <t>less peaked sine</t>
  </si>
  <si>
    <t>downward current drift</t>
  </si>
  <si>
    <t>flattened sine</t>
  </si>
  <si>
    <t>no signal</t>
  </si>
  <si>
    <t>BLOCK 3 — DBD · DutyCycle-sweep 100→5% · 5 kHz · 4 V · SQUARE (11 steps) — separates the voltage effect (vs Block 1) from the frequency effect (vs Block 2)</t>
  </si>
  <si>
    <t>very faint plasma</t>
  </si>
  <si>
    <t>BLOCK 4 — DBD · Pulse-burst DutyCycle-sweep · carrier 5 kHz · burst 1 kHz · V_Buck 15 V — pulsed-mode ignition threshold (ignition on 6/6 points; phase reading of step 2 questionable)</t>
  </si>
  <si>
    <t>pulsed sine</t>
  </si>
  <si>
    <t>pulsation caused by the garbage collector interrupting the pulse train</t>
  </si>
  <si>
    <t>Same, and upward drift of the primary current.</t>
  </si>
  <si>
    <t>slightly more intense plasma</t>
  </si>
  <si>
    <t>plasma and current drift</t>
  </si>
  <si>
    <t>BLOCK 1 — Thermal · stress point (high power) · 20 kHz · 7 V (2.39 A) · DC 100% · SQUARE</t>
  </si>
  <si>
    <t>Time (min)</t>
  </si>
  <si>
    <t>T_Ambient (°C)</t>
  </si>
  <si>
    <t>Condition:</t>
  </si>
  <si>
    <t>Date:</t>
  </si>
  <si>
    <t>T amb (°C):</t>
  </si>
  <si>
    <t>RH (%):</t>
  </si>
  <si>
    <t>2.39 A (reached within the first minute)</t>
  </si>
  <si>
    <t>current limit 3.3 A</t>
  </si>
  <si>
    <t>T_transformer:</t>
  </si>
  <si>
    <t>T_Heatsink:</t>
  </si>
  <si>
    <t>BLOCK 2 — Thermal · nominal point · 5 kHz · 6.3 V · DC 100% · SQUARE (same condition as Exp 4 Block B)</t>
  </si>
  <si>
    <t>6.3V</t>
  </si>
  <si>
    <t>BLOCK 3 — Thermal · stress point (high power) · 10 kHz · 4 V (2.21 A max) · DC 100% · SQUARE</t>
  </si>
  <si>
    <t>2.21 A max</t>
  </si>
  <si>
    <t>BLOCK A — Ignition-threshold repeatability · 5 kHz · SQUARE · DC 100% (5 trials, cold restart between trials)</t>
  </si>
  <si>
    <t>Trial #</t>
  </si>
  <si>
    <t>V_Buck_ignition (V)</t>
  </si>
  <si>
    <t>V_secondary_pp_ignition (kV)</t>
  </si>
  <si>
    <t>Z_before_ignition (MΩ)</t>
  </si>
  <si>
    <t>Z_after_ignition (MΩ)</t>
  </si>
  <si>
    <t>clear ignition</t>
  </si>
  <si>
    <t>faint ignition</t>
  </si>
  <si>
    <t>perceptible ignition</t>
  </si>
  <si>
    <t>Mean V_Buck (V)</t>
  </si>
  <si>
    <t>Std dev V_Buck</t>
  </si>
  <si>
    <t>BLOCK B — Stable-point repeatability · 5 kHz · 6.3 V · SQUARE · DC 100% (= Exp 2.1 Block 1 step 7) (5 runs × 3 measurements)</t>
  </si>
  <si>
    <t>Mean (kV)</t>
  </si>
  <si>
    <t>Std dev</t>
  </si>
  <si>
    <t>Mean P (W)</t>
  </si>
  <si>
    <t>Std dev P</t>
  </si>
  <si>
    <t>Consolidated data — one row per step (formulas linked to the experiment sheets)</t>
  </si>
  <si>
    <t>Turns/br</t>
  </si>
  <si>
    <t>Freq (kHz)</t>
  </si>
  <si>
    <t>V_buck setpoint (V)</t>
  </si>
  <si>
    <t>P_apparent (VA)</t>
  </si>
  <si>
    <t>P_real (W)</t>
  </si>
  <si>
    <t>P_real_scope (W)</t>
  </si>
  <si>
    <t>Efficiency (%)</t>
  </si>
  <si>
    <t>±P_real (W)</t>
  </si>
  <si>
    <t>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</si>
</sst>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8"/>
      <color rgb="FF808080"/>
      <name val="Calibri"/>
    </font>
    <font>
      <sz val="11"/>
      <color rgb="FF000000"/>
      <name val="Calibri"/>
    </font>
    <font>
      <b/>
      <sz val="9"/>
      <name val="Calibri"/>
    </font>
    <font>
      <b/>
      <sz val="12"/>
      <color rgb="FF1F3864"/>
      <name val="Calibri"/>
    </font>
    <font>
      <b/>
      <sz val="8"/>
      <color rgb="FFFFFFFF"/>
      <name val="Calibri"/>
    </font>
    <font>
      <b/>
      <sz val="8"/>
      <name val="Calibri"/>
    </font>
    <font>
      <b/>
      <sz val="10"/>
      <color rgb="FFFFFFFF"/>
      <name val="Calibri"/>
    </font>
    <font>
      <b/>
      <sz val="11"/>
      <name val="Calibri"/>
    </font>
    <font>
      <b/>
      <sz val="10"/>
      <color rgb="FFFFFFFF"/>
      <name val="Calibri"/>
    </font>
    <font>
      <b/>
      <sz val="8"/>
      <color rgb="FF000000"/>
      <name val="Calibri"/>
    </font>
    <font>
      <b/>
      <sz val="10"/>
      <color rgb="FFFFFFFF"/>
      <name val="Calibri"/>
    </font>
    <font>
      <b/>
      <sz val="8"/>
      <color rgb="FF000000"/>
      <name val="Calibri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404040"/>
      </patternFill>
    </fill>
    <fill>
      <patternFill patternType="solid">
        <fgColor rgb="FF375623"/>
      </patternFill>
    </fill>
    <fill>
      <patternFill patternType="solid">
        <fgColor rgb="FF943126"/>
      </patternFill>
    </fill>
    <fill>
      <patternFill patternType="solid">
        <fgColor rgb="FFBF8F00"/>
      </patternFill>
    </fill>
    <fill>
      <patternFill patternType="solid">
        <fgColor rgb="FF59595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0" xfId="0" applyFont="1" applyFill="1"/>
    <xf numFmtId="0" fontId="1" fillId="0" borderId="0" xfId="0" applyFont="1"/>
    <xf numFmtId="0" fontId="3" fillId="3" borderId="0" xfId="0" applyFont="1" applyFill="1"/>
    <xf numFmtId="0" fontId="1" fillId="4" borderId="2" xfId="0" applyFont="1" applyFill="1" applyBorder="1"/>
    <xf numFmtId="0" fontId="0" fillId="0" borderId="2" xfId="0" applyBorder="1"/>
    <xf numFmtId="0" fontId="4" fillId="0" borderId="0" xfId="0" applyFont="1"/>
    <xf numFmtId="0" fontId="5" fillId="2" borderId="0" xfId="0" applyFont="1" applyFill="1"/>
    <xf numFmtId="0" fontId="5" fillId="0" borderId="2" xfId="0" applyFont="1" applyBorder="1"/>
    <xf numFmtId="0" fontId="5" fillId="5" borderId="0" xfId="0" applyFont="1" applyFill="1"/>
    <xf numFmtId="0" fontId="7" fillId="0" borderId="0" xfId="0" applyFont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8" fillId="6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14" fillId="16" borderId="0" xfId="0" applyFont="1" applyFill="1"/>
    <xf numFmtId="0" fontId="2" fillId="16" borderId="0" xfId="0" applyFont="1" applyFill="1"/>
    <xf numFmtId="0" fontId="0" fillId="16" borderId="0" xfId="0" applyFill="1"/>
    <xf numFmtId="0" fontId="15" fillId="6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4" fillId="15" borderId="0" xfId="0" applyFont="1" applyFill="1"/>
    <xf numFmtId="0" fontId="0" fillId="15" borderId="0" xfId="0" applyFill="1"/>
    <xf numFmtId="0" fontId="2" fillId="15" borderId="0" xfId="0" applyFont="1" applyFill="1"/>
    <xf numFmtId="164" fontId="0" fillId="0" borderId="4" xfId="0" applyNumberFormat="1" applyBorder="1"/>
    <xf numFmtId="2" fontId="0" fillId="0" borderId="4" xfId="0" applyNumberFormat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5" fillId="5" borderId="0" xfId="0" applyNumberFormat="1" applyFont="1" applyFill="1"/>
    <xf numFmtId="0" fontId="16" fillId="16" borderId="0" xfId="0" applyFont="1" applyFill="1"/>
    <xf numFmtId="0" fontId="17" fillId="6" borderId="5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9" fontId="0" fillId="0" borderId="3" xfId="1" applyFont="1" applyBorder="1"/>
    <xf numFmtId="9" fontId="11" fillId="11" borderId="3" xfId="1" applyFont="1" applyFill="1" applyBorder="1" applyAlignment="1">
      <alignment horizontal="center" vertical="center" wrapText="1"/>
    </xf>
    <xf numFmtId="9" fontId="0" fillId="0" borderId="0" xfId="1" applyFont="1"/>
    <xf numFmtId="9" fontId="11" fillId="9" borderId="3" xfId="1" applyFont="1" applyFill="1" applyBorder="1" applyAlignment="1">
      <alignment horizontal="center" vertical="center" wrapText="1"/>
    </xf>
    <xf numFmtId="2" fontId="0" fillId="0" borderId="3" xfId="0" applyNumberFormat="1" applyBorder="1"/>
    <xf numFmtId="164" fontId="0" fillId="0" borderId="3" xfId="0" applyNumberFormat="1" applyBorder="1"/>
    <xf numFmtId="0" fontId="14" fillId="17" borderId="0" xfId="0" applyFont="1" applyFill="1" applyAlignment="1">
      <alignment vertical="center"/>
    </xf>
    <xf numFmtId="0" fontId="0" fillId="0" borderId="0" xfId="0"/>
    <xf numFmtId="2" fontId="0" fillId="0" borderId="0" xfId="0" applyNumberFormat="1"/>
    <xf numFmtId="0" fontId="10" fillId="13" borderId="0" xfId="0" applyFont="1" applyFill="1" applyAlignment="1">
      <alignment horizontal="center" vertical="center"/>
    </xf>
    <xf numFmtId="0" fontId="9" fillId="0" borderId="0" xfId="0" applyFont="1"/>
    <xf numFmtId="0" fontId="14" fillId="14" borderId="0" xfId="0" applyFont="1" applyFill="1" applyAlignment="1">
      <alignment vertical="center"/>
    </xf>
    <xf numFmtId="0" fontId="12" fillId="16" borderId="0" xfId="0" applyFont="1" applyFill="1" applyAlignment="1">
      <alignment vertical="center"/>
    </xf>
    <xf numFmtId="0" fontId="14" fillId="16" borderId="0" xfId="0" applyFont="1" applyFill="1" applyAlignment="1">
      <alignment vertical="center"/>
    </xf>
    <xf numFmtId="0" fontId="16" fillId="14" borderId="0" xfId="0" applyFont="1" applyFill="1" applyAlignment="1">
      <alignment vertical="center"/>
    </xf>
    <xf numFmtId="0" fontId="14" fillId="15" borderId="0" xfId="0" applyFont="1" applyFill="1" applyAlignment="1">
      <alignment vertical="center"/>
    </xf>
    <xf numFmtId="0" fontId="13" fillId="0" borderId="0" xfId="0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G19"/>
  <sheetViews>
    <sheetView showGridLines="0" tabSelected="1" topLeftCell="A18" workbookViewId="0">
      <selection activeCell="B36" sqref="B36:F36"/>
    </sheetView>
  </sheetViews>
  <sheetFormatPr baseColWidth="10" defaultRowHeight="14.4" x14ac:dyDescent="0.3"/>
  <cols>
    <col min="1" max="1" width="35.33203125" customWidth="1"/>
    <col min="2" max="2" width="31.44140625" customWidth="1"/>
    <col min="3" max="3" width="22.33203125" customWidth="1"/>
    <col min="4" max="4" width="18.5546875" customWidth="1"/>
    <col min="5" max="6" width="20.33203125" customWidth="1"/>
    <col min="7" max="7" width="24.109375" customWidth="1"/>
  </cols>
  <sheetData>
    <row r="1" spans="1:7" ht="18" customHeight="1" x14ac:dyDescent="0.35">
      <c r="A1" s="4" t="s">
        <v>100</v>
      </c>
      <c r="B1" s="2"/>
      <c r="C1" s="2"/>
      <c r="D1" s="2"/>
      <c r="E1" s="2"/>
      <c r="F1" s="2"/>
      <c r="G1" s="2"/>
    </row>
    <row r="3" spans="1:7" ht="15.6" customHeight="1" x14ac:dyDescent="0.3">
      <c r="A3" s="7" t="s">
        <v>21</v>
      </c>
    </row>
    <row r="4" spans="1:7" x14ac:dyDescent="0.3">
      <c r="A4" s="5" t="s">
        <v>22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  <c r="G4" s="5" t="s">
        <v>106</v>
      </c>
    </row>
    <row r="5" spans="1:7" x14ac:dyDescent="0.3">
      <c r="A5" s="6" t="s">
        <v>107</v>
      </c>
      <c r="B5" s="6" t="s">
        <v>108</v>
      </c>
      <c r="C5" s="9"/>
      <c r="D5" s="9"/>
      <c r="E5" s="9"/>
      <c r="F5" s="9"/>
      <c r="G5" s="9"/>
    </row>
    <row r="6" spans="1:7" x14ac:dyDescent="0.3">
      <c r="A6" s="6" t="s">
        <v>109</v>
      </c>
      <c r="B6" s="6" t="s">
        <v>110</v>
      </c>
      <c r="C6" s="9"/>
      <c r="D6" s="9"/>
      <c r="E6" s="9"/>
      <c r="F6" s="9"/>
      <c r="G6" s="9"/>
    </row>
    <row r="7" spans="1:7" x14ac:dyDescent="0.3">
      <c r="A7" s="6" t="s">
        <v>111</v>
      </c>
      <c r="B7" s="6" t="s">
        <v>112</v>
      </c>
      <c r="C7" s="9"/>
      <c r="D7" s="9"/>
      <c r="E7" s="9"/>
      <c r="F7" s="9"/>
      <c r="G7" s="9"/>
    </row>
    <row r="8" spans="1:7" x14ac:dyDescent="0.3">
      <c r="A8" s="6" t="s">
        <v>23</v>
      </c>
      <c r="B8" s="6" t="s">
        <v>24</v>
      </c>
      <c r="C8" s="9"/>
      <c r="D8" s="9"/>
      <c r="E8" s="9"/>
      <c r="F8" s="9"/>
      <c r="G8" s="9"/>
    </row>
    <row r="9" spans="1:7" x14ac:dyDescent="0.3">
      <c r="A9" s="6" t="s">
        <v>113</v>
      </c>
      <c r="B9" s="6" t="s">
        <v>114</v>
      </c>
      <c r="C9" s="9"/>
      <c r="D9" s="9"/>
      <c r="E9" s="9"/>
      <c r="F9" s="9"/>
      <c r="G9" s="9"/>
    </row>
    <row r="10" spans="1:7" x14ac:dyDescent="0.3">
      <c r="A10" s="6" t="s">
        <v>115</v>
      </c>
      <c r="B10" s="6" t="s">
        <v>25</v>
      </c>
      <c r="C10" s="9"/>
      <c r="D10" s="9"/>
      <c r="E10" s="9"/>
      <c r="F10" s="9"/>
      <c r="G10" s="9"/>
    </row>
    <row r="11" spans="1:7" x14ac:dyDescent="0.3">
      <c r="A11" s="6" t="s">
        <v>116</v>
      </c>
      <c r="B11" s="6" t="s">
        <v>117</v>
      </c>
      <c r="C11" s="9"/>
      <c r="D11" s="9"/>
      <c r="E11" s="9"/>
      <c r="F11" s="9"/>
      <c r="G11" s="9"/>
    </row>
    <row r="12" spans="1:7" x14ac:dyDescent="0.3">
      <c r="A12" s="6" t="s">
        <v>118</v>
      </c>
      <c r="B12" s="6" t="s">
        <v>119</v>
      </c>
      <c r="C12" s="9"/>
      <c r="D12" s="9"/>
      <c r="E12" s="9"/>
      <c r="F12" s="9"/>
      <c r="G12" s="9"/>
    </row>
    <row r="13" spans="1:7" x14ac:dyDescent="0.3">
      <c r="A13" s="6" t="s">
        <v>120</v>
      </c>
      <c r="B13" s="6" t="s">
        <v>121</v>
      </c>
      <c r="C13" s="9"/>
      <c r="D13" s="9"/>
      <c r="E13" s="9"/>
      <c r="F13" s="9"/>
      <c r="G13" s="9"/>
    </row>
    <row r="15" spans="1:7" ht="15.6" customHeight="1" x14ac:dyDescent="0.3">
      <c r="A15" s="7" t="s">
        <v>122</v>
      </c>
    </row>
    <row r="16" spans="1:7" x14ac:dyDescent="0.3">
      <c r="A16" t="s">
        <v>123</v>
      </c>
      <c r="B16" s="8">
        <v>3</v>
      </c>
    </row>
    <row r="17" spans="1:2" x14ac:dyDescent="0.3">
      <c r="A17" t="s">
        <v>124</v>
      </c>
      <c r="B17" s="8">
        <v>5</v>
      </c>
    </row>
    <row r="18" spans="1:2" x14ac:dyDescent="0.3">
      <c r="A18" t="s">
        <v>26</v>
      </c>
      <c r="B18" s="8">
        <v>5</v>
      </c>
    </row>
    <row r="19" spans="1:2" x14ac:dyDescent="0.3">
      <c r="A19" t="s">
        <v>125</v>
      </c>
      <c r="B19" s="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R48"/>
  <sheetViews>
    <sheetView showGridLines="0" workbookViewId="0">
      <pane xSplit="5" ySplit="3" topLeftCell="AK21" activePane="bottomRight" state="frozen"/>
      <selection pane="topRight"/>
      <selection pane="bottomLeft"/>
      <selection pane="bottomRight" activeCell="N3" sqref="N1:N1048576"/>
    </sheetView>
  </sheetViews>
  <sheetFormatPr baseColWidth="10" defaultColWidth="8.88671875" defaultRowHeight="14.4" x14ac:dyDescent="0.3"/>
  <cols>
    <col min="1" max="1" width="22" customWidth="1"/>
    <col min="2" max="2" width="7" customWidth="1"/>
    <col min="3" max="3" width="9" customWidth="1"/>
    <col min="4" max="7" width="10" customWidth="1"/>
    <col min="8" max="8" width="12" customWidth="1"/>
  </cols>
  <sheetData>
    <row r="1" spans="1:44" ht="15.6" customHeight="1" x14ac:dyDescent="0.3">
      <c r="A1" s="58" t="s">
        <v>126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</row>
    <row r="2" spans="1:44" ht="13.95" customHeight="1" x14ac:dyDescent="0.3">
      <c r="A2" s="57" t="s">
        <v>27</v>
      </c>
      <c r="B2" s="55"/>
      <c r="C2" s="55"/>
      <c r="D2" s="55"/>
      <c r="E2" s="55"/>
      <c r="F2" s="55"/>
      <c r="G2" s="55"/>
      <c r="H2" s="55"/>
      <c r="I2" s="57" t="s">
        <v>127</v>
      </c>
      <c r="J2" s="55"/>
      <c r="K2" s="55"/>
      <c r="L2" s="55"/>
      <c r="M2" s="55"/>
      <c r="N2" s="57" t="s">
        <v>128</v>
      </c>
      <c r="O2" s="55"/>
      <c r="P2" s="55"/>
      <c r="Q2" s="55"/>
      <c r="R2" s="57" t="s">
        <v>129</v>
      </c>
      <c r="S2" s="55"/>
      <c r="T2" s="55"/>
      <c r="U2" s="55"/>
      <c r="V2" s="55"/>
      <c r="W2" s="55"/>
      <c r="X2" s="55"/>
      <c r="Y2" s="55"/>
      <c r="Z2" s="55"/>
      <c r="AA2" s="57" t="s">
        <v>130</v>
      </c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7" t="s">
        <v>131</v>
      </c>
      <c r="AN2" s="55"/>
      <c r="AO2" s="55"/>
      <c r="AP2" s="55"/>
      <c r="AQ2" s="57" t="s">
        <v>132</v>
      </c>
      <c r="AR2" s="55"/>
    </row>
    <row r="3" spans="1:44" ht="31.95" customHeight="1" x14ac:dyDescent="0.3">
      <c r="A3" s="12" t="s">
        <v>133</v>
      </c>
      <c r="B3" s="12" t="s">
        <v>134</v>
      </c>
      <c r="C3" s="12" t="s">
        <v>28</v>
      </c>
      <c r="D3" s="12" t="s">
        <v>135</v>
      </c>
      <c r="E3" s="12" t="s">
        <v>136</v>
      </c>
      <c r="F3" s="12" t="s">
        <v>29</v>
      </c>
      <c r="G3" s="12" t="s">
        <v>30</v>
      </c>
      <c r="H3" s="12" t="s">
        <v>137</v>
      </c>
      <c r="I3" s="13" t="s">
        <v>31</v>
      </c>
      <c r="J3" s="13" t="s">
        <v>32</v>
      </c>
      <c r="K3" s="13" t="s">
        <v>33</v>
      </c>
      <c r="L3" s="13" t="s">
        <v>138</v>
      </c>
      <c r="M3" s="13" t="s">
        <v>6</v>
      </c>
      <c r="N3" s="14" t="s">
        <v>139</v>
      </c>
      <c r="O3" s="14" t="s">
        <v>140</v>
      </c>
      <c r="P3" s="14" t="s">
        <v>3</v>
      </c>
      <c r="Q3" s="14" t="s">
        <v>34</v>
      </c>
      <c r="R3" s="15" t="s">
        <v>35</v>
      </c>
      <c r="S3" s="15" t="s">
        <v>36</v>
      </c>
      <c r="T3" s="15" t="s">
        <v>4</v>
      </c>
      <c r="U3" s="15" t="s">
        <v>37</v>
      </c>
      <c r="V3" s="15" t="s">
        <v>38</v>
      </c>
      <c r="W3" s="15" t="s">
        <v>141</v>
      </c>
      <c r="X3" s="15" t="s">
        <v>5</v>
      </c>
      <c r="Y3" s="15" t="s">
        <v>39</v>
      </c>
      <c r="Z3" s="15" t="s">
        <v>142</v>
      </c>
      <c r="AA3" s="16" t="s">
        <v>40</v>
      </c>
      <c r="AB3" s="16" t="s">
        <v>143</v>
      </c>
      <c r="AC3" s="16" t="s">
        <v>41</v>
      </c>
      <c r="AD3" s="16" t="s">
        <v>42</v>
      </c>
      <c r="AE3" s="16" t="s">
        <v>43</v>
      </c>
      <c r="AF3" s="16" t="s">
        <v>44</v>
      </c>
      <c r="AG3" s="16" t="s">
        <v>45</v>
      </c>
      <c r="AH3" s="16" t="s">
        <v>46</v>
      </c>
      <c r="AI3" s="16" t="s">
        <v>47</v>
      </c>
      <c r="AJ3" s="16" t="s">
        <v>48</v>
      </c>
      <c r="AK3" s="16" t="s">
        <v>49</v>
      </c>
      <c r="AL3" s="16" t="s">
        <v>50</v>
      </c>
      <c r="AM3" s="17" t="s">
        <v>51</v>
      </c>
      <c r="AN3" s="17" t="s">
        <v>144</v>
      </c>
      <c r="AO3" s="17" t="s">
        <v>145</v>
      </c>
      <c r="AP3" s="17" t="s">
        <v>146</v>
      </c>
      <c r="AQ3" s="18" t="s">
        <v>52</v>
      </c>
      <c r="AR3" s="18" t="s">
        <v>2</v>
      </c>
    </row>
    <row r="4" spans="1:44" ht="18" customHeight="1" x14ac:dyDescent="0.3">
      <c r="A4" s="59" t="s">
        <v>147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</row>
    <row r="5" spans="1:44" x14ac:dyDescent="0.3">
      <c r="A5" s="19" t="s">
        <v>148</v>
      </c>
      <c r="B5" s="19">
        <v>1</v>
      </c>
      <c r="C5" s="19" t="s">
        <v>53</v>
      </c>
      <c r="D5" s="19"/>
      <c r="E5" s="19">
        <v>20</v>
      </c>
      <c r="F5" s="19"/>
      <c r="G5" s="19">
        <v>100</v>
      </c>
      <c r="H5" s="19">
        <v>1</v>
      </c>
      <c r="I5" s="19">
        <v>0.98799999999999999</v>
      </c>
      <c r="J5" s="19">
        <v>87</v>
      </c>
      <c r="K5" s="19">
        <f t="shared" ref="K5:K14" si="0">IF(COUNT(J5,I5)=0,"",IFERROR(J5/1000/I5,""))</f>
        <v>8.8056680161943318E-2</v>
      </c>
      <c r="L5" s="19">
        <v>0.38</v>
      </c>
      <c r="M5" s="19">
        <f t="shared" ref="M5:M14" si="1">IF(COUNT(H5,L5)=0,"",IFERROR(H5*L5,""))</f>
        <v>0.38</v>
      </c>
      <c r="N5" s="19">
        <v>1.68</v>
      </c>
      <c r="O5" s="19">
        <v>0.54900000000000004</v>
      </c>
      <c r="P5" s="19">
        <v>0.66100000000000003</v>
      </c>
      <c r="Q5" s="19">
        <f t="shared" ref="Q5:Q14" si="2">IF(COUNT(O5,P5)=0,"",IFERROR(O5*1000/P5*1000,""))</f>
        <v>830559.75794251123</v>
      </c>
      <c r="R5" s="19"/>
      <c r="S5" s="19">
        <f t="shared" ref="S5:S14" si="3">IF(COUNT(O5,P5)=0,"",IFERROR(O5*P5,""))</f>
        <v>0.36288900000000007</v>
      </c>
      <c r="T5" s="19">
        <v>72.900000000000006</v>
      </c>
      <c r="U5" s="19">
        <f t="shared" ref="U5:U14" si="4">IF(COUNT(T5)=0,"",IFERROR(COS(T5/180*PI()),""))</f>
        <v>0.29404032523230389</v>
      </c>
      <c r="V5" s="19">
        <f t="shared" ref="V5:V14" si="5">IF(COUNT(S5,T5)=0,"",IFERROR(S5*COS(T5/360*2*3.14),""))</f>
        <v>0.10692770210622182</v>
      </c>
      <c r="W5" s="19">
        <f t="shared" ref="W5:W14" si="6">IF(COUNT(V5,M5)=0,"",IFERROR(1-V5/M5,""))</f>
        <v>0.71861131024678471</v>
      </c>
      <c r="X5" s="19"/>
      <c r="Y5" s="19"/>
      <c r="Z5" s="19" t="str">
        <f t="shared" ref="Z5:Z14" si="7">IFERROR(IF(OR(V5="",X5="",X5=0),"",(V5-X5)/X5*100),"")</f>
        <v/>
      </c>
      <c r="AA5" s="19">
        <f t="shared" ref="AA5:AA14" si="8">IF(COUNT(AD5,AE5,AF5,AG5,AH5,AI5,AJ5,AK5,AL5,AC5)=0,"",IFERROR(SQRT(AD5^2+AE5^2+AF5^2+AG5^2+AH5^2+AI5^2+AJ5^2+AK5^2+AL5^2)/AC5,""))</f>
        <v>0.1127875605443156</v>
      </c>
      <c r="AB5" s="19"/>
      <c r="AC5" s="19">
        <v>527</v>
      </c>
      <c r="AD5" s="19">
        <v>44</v>
      </c>
      <c r="AE5" s="19">
        <v>36</v>
      </c>
      <c r="AF5" s="19">
        <v>12</v>
      </c>
      <c r="AG5" s="19">
        <v>11</v>
      </c>
      <c r="AH5" s="19">
        <v>6</v>
      </c>
      <c r="AI5" s="19"/>
      <c r="AJ5" s="19"/>
      <c r="AK5" s="19"/>
      <c r="AL5" s="19"/>
      <c r="AM5" s="19">
        <v>26</v>
      </c>
      <c r="AN5" s="19"/>
      <c r="AO5" s="19"/>
      <c r="AP5" s="19"/>
      <c r="AQ5" s="19"/>
      <c r="AR5" s="19"/>
    </row>
    <row r="6" spans="1:44" x14ac:dyDescent="0.3">
      <c r="A6" s="19" t="s">
        <v>148</v>
      </c>
      <c r="B6" s="19">
        <v>2</v>
      </c>
      <c r="C6" s="19" t="s">
        <v>53</v>
      </c>
      <c r="D6" s="19"/>
      <c r="E6" s="19">
        <v>20</v>
      </c>
      <c r="F6" s="19"/>
      <c r="G6" s="19">
        <v>100</v>
      </c>
      <c r="H6" s="19">
        <v>2</v>
      </c>
      <c r="I6" s="19">
        <v>2</v>
      </c>
      <c r="J6" s="19">
        <v>128</v>
      </c>
      <c r="K6" s="19">
        <f t="shared" si="0"/>
        <v>6.4000000000000001E-2</v>
      </c>
      <c r="L6" s="19">
        <v>0.55000000000000004</v>
      </c>
      <c r="M6" s="19">
        <f t="shared" si="1"/>
        <v>1.1000000000000001</v>
      </c>
      <c r="N6" s="19">
        <v>2.4300000000000002</v>
      </c>
      <c r="O6" s="19">
        <v>0.75700000000000001</v>
      </c>
      <c r="P6" s="19">
        <v>0.91200000000000003</v>
      </c>
      <c r="Q6" s="19">
        <f t="shared" si="2"/>
        <v>830043.85964912269</v>
      </c>
      <c r="R6" s="19"/>
      <c r="S6" s="19">
        <f t="shared" si="3"/>
        <v>0.690384</v>
      </c>
      <c r="T6" s="19">
        <v>73.900000000000006</v>
      </c>
      <c r="U6" s="19">
        <f t="shared" si="4"/>
        <v>0.27731465330237792</v>
      </c>
      <c r="V6" s="19">
        <f t="shared" si="5"/>
        <v>0.19188727674770589</v>
      </c>
      <c r="W6" s="19">
        <f t="shared" si="6"/>
        <v>0.8255570211384492</v>
      </c>
      <c r="X6" s="19"/>
      <c r="Y6" s="19"/>
      <c r="Z6" s="19" t="str">
        <f t="shared" si="7"/>
        <v/>
      </c>
      <c r="AA6" s="19">
        <f t="shared" si="8"/>
        <v>0.10703821529153999</v>
      </c>
      <c r="AB6" s="19"/>
      <c r="AC6" s="19">
        <v>723</v>
      </c>
      <c r="AD6" s="19">
        <v>60</v>
      </c>
      <c r="AE6" s="19">
        <v>42</v>
      </c>
      <c r="AF6" s="19">
        <v>20</v>
      </c>
      <c r="AG6" s="19">
        <v>12</v>
      </c>
      <c r="AH6" s="19">
        <v>9</v>
      </c>
      <c r="AI6" s="19"/>
      <c r="AJ6" s="19"/>
      <c r="AK6" s="19"/>
      <c r="AL6" s="19"/>
      <c r="AM6" s="19">
        <v>30</v>
      </c>
      <c r="AN6" s="19"/>
      <c r="AO6" s="19"/>
      <c r="AP6" s="19"/>
      <c r="AQ6" s="19"/>
      <c r="AR6" s="19"/>
    </row>
    <row r="7" spans="1:44" x14ac:dyDescent="0.3">
      <c r="A7" s="19" t="s">
        <v>148</v>
      </c>
      <c r="B7" s="19">
        <v>3</v>
      </c>
      <c r="C7" s="19" t="s">
        <v>53</v>
      </c>
      <c r="D7" s="19"/>
      <c r="E7" s="19">
        <v>20</v>
      </c>
      <c r="F7" s="19"/>
      <c r="G7" s="19">
        <v>100</v>
      </c>
      <c r="H7" s="19">
        <v>3</v>
      </c>
      <c r="I7" s="19">
        <v>2.99</v>
      </c>
      <c r="J7" s="19">
        <v>132</v>
      </c>
      <c r="K7" s="19">
        <f t="shared" si="0"/>
        <v>4.4147157190635451E-2</v>
      </c>
      <c r="L7" s="19">
        <v>0.75</v>
      </c>
      <c r="M7" s="19">
        <f t="shared" si="1"/>
        <v>2.25</v>
      </c>
      <c r="N7" s="19">
        <v>3.38</v>
      </c>
      <c r="O7" s="19">
        <v>1.08</v>
      </c>
      <c r="P7" s="19">
        <v>1.32</v>
      </c>
      <c r="Q7" s="19">
        <f t="shared" si="2"/>
        <v>818181.81818181812</v>
      </c>
      <c r="R7" s="19"/>
      <c r="S7" s="19">
        <f t="shared" si="3"/>
        <v>1.4256000000000002</v>
      </c>
      <c r="T7" s="19">
        <v>73.5</v>
      </c>
      <c r="U7" s="19">
        <f t="shared" si="4"/>
        <v>0.28401534470392276</v>
      </c>
      <c r="V7" s="19">
        <f t="shared" si="5"/>
        <v>0.4057811263712317</v>
      </c>
      <c r="W7" s="19">
        <f t="shared" si="6"/>
        <v>0.819652832723897</v>
      </c>
      <c r="X7" s="19"/>
      <c r="Y7" s="19"/>
      <c r="Z7" s="19" t="str">
        <f t="shared" si="7"/>
        <v/>
      </c>
      <c r="AA7" s="19">
        <f t="shared" si="8"/>
        <v>0.13592898577190962</v>
      </c>
      <c r="AB7" s="19"/>
      <c r="AC7" s="19">
        <v>1031</v>
      </c>
      <c r="AD7" s="19">
        <v>101</v>
      </c>
      <c r="AE7" s="19">
        <v>89</v>
      </c>
      <c r="AF7" s="19">
        <v>30</v>
      </c>
      <c r="AG7" s="19">
        <v>18</v>
      </c>
      <c r="AH7" s="19">
        <v>13</v>
      </c>
      <c r="AI7" s="19">
        <v>8</v>
      </c>
      <c r="AJ7" s="19">
        <v>6</v>
      </c>
      <c r="AK7" s="19">
        <v>5</v>
      </c>
      <c r="AL7" s="19"/>
      <c r="AM7" s="19">
        <v>35</v>
      </c>
      <c r="AN7" s="19"/>
      <c r="AO7" s="19"/>
      <c r="AP7" s="19"/>
      <c r="AQ7" s="19"/>
      <c r="AR7" s="19"/>
    </row>
    <row r="8" spans="1:44" x14ac:dyDescent="0.3">
      <c r="A8" s="19" t="s">
        <v>148</v>
      </c>
      <c r="B8" s="19">
        <v>4</v>
      </c>
      <c r="C8" s="19" t="s">
        <v>53</v>
      </c>
      <c r="D8" s="19"/>
      <c r="E8" s="19">
        <v>20</v>
      </c>
      <c r="F8" s="19"/>
      <c r="G8" s="19">
        <v>100</v>
      </c>
      <c r="H8" s="19">
        <v>4</v>
      </c>
      <c r="I8" s="19">
        <v>3.97</v>
      </c>
      <c r="J8" s="19">
        <v>406</v>
      </c>
      <c r="K8" s="19">
        <f t="shared" si="0"/>
        <v>0.10226700251889169</v>
      </c>
      <c r="L8" s="19">
        <v>1.69</v>
      </c>
      <c r="M8" s="19">
        <f t="shared" si="1"/>
        <v>6.76</v>
      </c>
      <c r="N8" s="19">
        <v>8.15</v>
      </c>
      <c r="O8" s="19">
        <v>2.69</v>
      </c>
      <c r="P8" s="19">
        <v>3.25</v>
      </c>
      <c r="Q8" s="19">
        <f t="shared" si="2"/>
        <v>827692.30769230775</v>
      </c>
      <c r="R8" s="19"/>
      <c r="S8" s="19">
        <f t="shared" si="3"/>
        <v>8.7424999999999997</v>
      </c>
      <c r="T8" s="19">
        <v>74.400000000000006</v>
      </c>
      <c r="U8" s="19">
        <f t="shared" si="4"/>
        <v>0.2689198206152657</v>
      </c>
      <c r="V8" s="19">
        <f t="shared" si="5"/>
        <v>2.3565741765177046</v>
      </c>
      <c r="W8" s="19">
        <f t="shared" si="6"/>
        <v>0.65139435258613831</v>
      </c>
      <c r="X8" s="19"/>
      <c r="Y8" s="19"/>
      <c r="Z8" s="19" t="str">
        <f t="shared" si="7"/>
        <v/>
      </c>
      <c r="AA8" s="19">
        <f t="shared" si="8"/>
        <v>0.12712097133468733</v>
      </c>
      <c r="AB8" s="19"/>
      <c r="AC8" s="19">
        <v>2515</v>
      </c>
      <c r="AD8" s="19">
        <v>225</v>
      </c>
      <c r="AE8" s="19">
        <v>187</v>
      </c>
      <c r="AF8" s="19">
        <v>100</v>
      </c>
      <c r="AG8" s="19">
        <v>60</v>
      </c>
      <c r="AH8" s="19">
        <v>39</v>
      </c>
      <c r="AI8" s="19">
        <v>29</v>
      </c>
      <c r="AJ8" s="19">
        <v>17</v>
      </c>
      <c r="AK8" s="19">
        <v>15</v>
      </c>
      <c r="AL8" s="19">
        <v>12</v>
      </c>
      <c r="AM8" s="19">
        <v>47</v>
      </c>
      <c r="AN8" s="19"/>
      <c r="AO8" s="19"/>
      <c r="AP8" s="19"/>
      <c r="AQ8" s="19"/>
      <c r="AR8" s="19"/>
    </row>
    <row r="9" spans="1:44" x14ac:dyDescent="0.3">
      <c r="A9" s="19" t="s">
        <v>148</v>
      </c>
      <c r="B9" s="19">
        <v>5</v>
      </c>
      <c r="C9" s="19" t="s">
        <v>53</v>
      </c>
      <c r="D9" s="19"/>
      <c r="E9" s="19">
        <v>20</v>
      </c>
      <c r="F9" s="19"/>
      <c r="G9" s="19">
        <v>100</v>
      </c>
      <c r="H9" s="19">
        <v>5</v>
      </c>
      <c r="I9" s="19">
        <v>4.8499999999999996</v>
      </c>
      <c r="J9" s="19">
        <v>496</v>
      </c>
      <c r="K9" s="19">
        <f t="shared" si="0"/>
        <v>0.1022680412371134</v>
      </c>
      <c r="L9" s="19">
        <v>2.16</v>
      </c>
      <c r="M9" s="19">
        <f t="shared" si="1"/>
        <v>10.8</v>
      </c>
      <c r="N9" s="19">
        <v>11.45</v>
      </c>
      <c r="O9" s="19">
        <v>4.0599999999999996</v>
      </c>
      <c r="P9" s="19">
        <v>4.78</v>
      </c>
      <c r="Q9" s="19">
        <f t="shared" si="2"/>
        <v>849372.38493723841</v>
      </c>
      <c r="R9" s="19"/>
      <c r="S9" s="19">
        <f t="shared" si="3"/>
        <v>19.4068</v>
      </c>
      <c r="T9" s="19">
        <v>73.7</v>
      </c>
      <c r="U9" s="19">
        <f t="shared" si="4"/>
        <v>0.28066670892078793</v>
      </c>
      <c r="V9" s="19">
        <f t="shared" si="5"/>
        <v>5.4589880899042038</v>
      </c>
      <c r="W9" s="19">
        <f t="shared" si="6"/>
        <v>0.49453813982368489</v>
      </c>
      <c r="X9" s="19"/>
      <c r="Y9" s="19"/>
      <c r="Z9" s="19" t="str">
        <f t="shared" si="7"/>
        <v/>
      </c>
      <c r="AA9" s="19">
        <f t="shared" si="8"/>
        <v>9.1097888220069437E-2</v>
      </c>
      <c r="AB9" s="19"/>
      <c r="AC9" s="19">
        <v>3825</v>
      </c>
      <c r="AD9" s="19">
        <v>307</v>
      </c>
      <c r="AE9" s="19">
        <v>138</v>
      </c>
      <c r="AF9" s="19">
        <v>70</v>
      </c>
      <c r="AG9" s="19">
        <v>44</v>
      </c>
      <c r="AH9" s="19">
        <v>28</v>
      </c>
      <c r="AI9" s="19">
        <v>14</v>
      </c>
      <c r="AJ9" s="19">
        <v>12</v>
      </c>
      <c r="AK9" s="19">
        <v>10</v>
      </c>
      <c r="AL9" s="19">
        <v>8</v>
      </c>
      <c r="AM9" s="19">
        <v>52</v>
      </c>
      <c r="AN9" s="19"/>
      <c r="AO9" s="19"/>
      <c r="AP9" s="19"/>
      <c r="AQ9" s="19"/>
      <c r="AR9" s="19"/>
    </row>
    <row r="10" spans="1:44" x14ac:dyDescent="0.3">
      <c r="A10" s="19" t="s">
        <v>148</v>
      </c>
      <c r="B10" s="19">
        <v>6</v>
      </c>
      <c r="C10" s="19" t="s">
        <v>53</v>
      </c>
      <c r="D10" s="19"/>
      <c r="E10" s="19">
        <v>20</v>
      </c>
      <c r="F10" s="19"/>
      <c r="G10" s="19">
        <v>100</v>
      </c>
      <c r="H10" s="19">
        <v>6</v>
      </c>
      <c r="I10" s="19">
        <v>5.86</v>
      </c>
      <c r="J10" s="19">
        <v>685</v>
      </c>
      <c r="K10" s="19">
        <f t="shared" si="0"/>
        <v>0.11689419795221843</v>
      </c>
      <c r="L10" s="19">
        <v>2.23</v>
      </c>
      <c r="M10" s="19">
        <f t="shared" si="1"/>
        <v>13.379999999999999</v>
      </c>
      <c r="N10" s="19">
        <v>14.45</v>
      </c>
      <c r="O10" s="19">
        <v>5.14</v>
      </c>
      <c r="P10" s="19">
        <v>5.97</v>
      </c>
      <c r="Q10" s="19">
        <f t="shared" si="2"/>
        <v>860971.52428810729</v>
      </c>
      <c r="R10" s="19"/>
      <c r="S10" s="19">
        <f t="shared" si="3"/>
        <v>30.685799999999997</v>
      </c>
      <c r="T10" s="19">
        <v>72.8</v>
      </c>
      <c r="U10" s="19">
        <f t="shared" si="4"/>
        <v>0.29570805004404671</v>
      </c>
      <c r="V10" s="19">
        <f t="shared" si="5"/>
        <v>9.0929181807134682</v>
      </c>
      <c r="W10" s="19">
        <f t="shared" si="6"/>
        <v>0.32040970248778256</v>
      </c>
      <c r="X10" s="19"/>
      <c r="Y10" s="19"/>
      <c r="Z10" s="19" t="str">
        <f t="shared" si="7"/>
        <v/>
      </c>
      <c r="AA10" s="19">
        <f t="shared" si="8"/>
        <v>8.2528204207582181E-2</v>
      </c>
      <c r="AB10" s="19"/>
      <c r="AC10" s="19">
        <v>4855</v>
      </c>
      <c r="AD10" s="19">
        <v>312</v>
      </c>
      <c r="AE10" s="19">
        <v>210</v>
      </c>
      <c r="AF10" s="19">
        <v>89</v>
      </c>
      <c r="AG10" s="19">
        <v>82</v>
      </c>
      <c r="AH10" s="19">
        <v>45</v>
      </c>
      <c r="AI10" s="19">
        <v>36</v>
      </c>
      <c r="AJ10" s="19">
        <v>25</v>
      </c>
      <c r="AK10" s="19">
        <v>19</v>
      </c>
      <c r="AL10" s="19">
        <v>12</v>
      </c>
      <c r="AM10" s="19">
        <v>52</v>
      </c>
      <c r="AN10" s="19"/>
      <c r="AO10" s="19"/>
      <c r="AP10" s="19"/>
      <c r="AQ10" s="19"/>
      <c r="AR10" s="19"/>
    </row>
    <row r="11" spans="1:44" x14ac:dyDescent="0.3">
      <c r="A11" s="19" t="s">
        <v>148</v>
      </c>
      <c r="B11" s="19">
        <v>7</v>
      </c>
      <c r="C11" s="19" t="s">
        <v>53</v>
      </c>
      <c r="D11" s="19"/>
      <c r="E11" s="19">
        <v>20</v>
      </c>
      <c r="F11" s="19"/>
      <c r="G11" s="19">
        <v>100</v>
      </c>
      <c r="H11" s="19">
        <v>7</v>
      </c>
      <c r="I11" s="19">
        <v>6.68</v>
      </c>
      <c r="J11" s="19">
        <v>778</v>
      </c>
      <c r="K11" s="19">
        <f t="shared" si="0"/>
        <v>0.11646706586826348</v>
      </c>
      <c r="L11" s="19">
        <v>2.29</v>
      </c>
      <c r="M11" s="19">
        <f t="shared" si="1"/>
        <v>16.03</v>
      </c>
      <c r="N11" s="19">
        <v>16.440000000000001</v>
      </c>
      <c r="O11" s="19">
        <v>5.91</v>
      </c>
      <c r="P11" s="19">
        <v>6.97</v>
      </c>
      <c r="Q11" s="19">
        <f t="shared" si="2"/>
        <v>847919.65566714504</v>
      </c>
      <c r="R11" s="19"/>
      <c r="S11" s="19">
        <f t="shared" si="3"/>
        <v>41.192700000000002</v>
      </c>
      <c r="T11" s="19">
        <v>72.5</v>
      </c>
      <c r="U11" s="19">
        <f t="shared" si="4"/>
        <v>0.30070579950427306</v>
      </c>
      <c r="V11" s="19">
        <f t="shared" si="5"/>
        <v>12.412082748259623</v>
      </c>
      <c r="W11" s="19">
        <f t="shared" si="6"/>
        <v>0.22569664702060999</v>
      </c>
      <c r="X11" s="19"/>
      <c r="Y11" s="19"/>
      <c r="Z11" s="19" t="str">
        <f t="shared" si="7"/>
        <v/>
      </c>
      <c r="AA11" s="19">
        <f t="shared" si="8"/>
        <v>9.1291696848399564E-2</v>
      </c>
      <c r="AB11" s="19"/>
      <c r="AC11" s="19">
        <v>5558</v>
      </c>
      <c r="AD11" s="19">
        <v>356</v>
      </c>
      <c r="AE11" s="19">
        <v>311</v>
      </c>
      <c r="AF11" s="19">
        <v>134</v>
      </c>
      <c r="AG11" s="19">
        <v>107</v>
      </c>
      <c r="AH11" s="19">
        <v>49</v>
      </c>
      <c r="AI11" s="19">
        <v>35</v>
      </c>
      <c r="AJ11" s="19">
        <v>22</v>
      </c>
      <c r="AK11" s="19">
        <v>19</v>
      </c>
      <c r="AL11" s="19">
        <v>11</v>
      </c>
      <c r="AM11" s="19">
        <v>52</v>
      </c>
      <c r="AN11" s="19"/>
      <c r="AO11" s="19"/>
      <c r="AP11" s="19"/>
      <c r="AQ11" s="19"/>
      <c r="AR11" s="19"/>
    </row>
    <row r="12" spans="1:44" x14ac:dyDescent="0.3">
      <c r="A12" s="19" t="s">
        <v>148</v>
      </c>
      <c r="B12" s="19">
        <v>8</v>
      </c>
      <c r="C12" s="19" t="s">
        <v>53</v>
      </c>
      <c r="D12" s="19"/>
      <c r="E12" s="19">
        <v>20</v>
      </c>
      <c r="F12" s="19"/>
      <c r="G12" s="19">
        <v>100</v>
      </c>
      <c r="H12" s="19">
        <v>8</v>
      </c>
      <c r="I12" s="19">
        <v>7.67</v>
      </c>
      <c r="J12" s="19">
        <v>877</v>
      </c>
      <c r="K12" s="19">
        <f t="shared" si="0"/>
        <v>0.11434159061277706</v>
      </c>
      <c r="L12" s="19">
        <v>2.4</v>
      </c>
      <c r="M12" s="19">
        <f t="shared" si="1"/>
        <v>19.2</v>
      </c>
      <c r="N12" s="19">
        <v>19.22</v>
      </c>
      <c r="O12" s="19">
        <v>6.86</v>
      </c>
      <c r="P12" s="19">
        <v>8.27</v>
      </c>
      <c r="Q12" s="19">
        <f t="shared" si="2"/>
        <v>829504.23216444987</v>
      </c>
      <c r="R12" s="19"/>
      <c r="S12" s="19">
        <f t="shared" si="3"/>
        <v>56.732199999999999</v>
      </c>
      <c r="T12" s="19">
        <v>72.2</v>
      </c>
      <c r="U12" s="19">
        <f t="shared" si="4"/>
        <v>0.30569530496310571</v>
      </c>
      <c r="V12" s="19">
        <f t="shared" si="5"/>
        <v>17.377270989521136</v>
      </c>
      <c r="W12" s="19">
        <f t="shared" si="6"/>
        <v>9.4933802629107444E-2</v>
      </c>
      <c r="X12" s="19"/>
      <c r="Y12" s="19"/>
      <c r="Z12" s="19" t="str">
        <f t="shared" si="7"/>
        <v/>
      </c>
      <c r="AA12" s="19">
        <f t="shared" si="8"/>
        <v>9.4634789511295184E-2</v>
      </c>
      <c r="AB12" s="19"/>
      <c r="AC12" s="19">
        <v>6504</v>
      </c>
      <c r="AD12" s="19">
        <v>409</v>
      </c>
      <c r="AE12" s="19">
        <v>358</v>
      </c>
      <c r="AF12" s="19">
        <v>240</v>
      </c>
      <c r="AG12" s="19">
        <v>136</v>
      </c>
      <c r="AH12" s="19">
        <v>60</v>
      </c>
      <c r="AI12" s="19">
        <v>48</v>
      </c>
      <c r="AJ12" s="19">
        <v>26</v>
      </c>
      <c r="AK12" s="19">
        <v>23</v>
      </c>
      <c r="AL12" s="19">
        <v>14</v>
      </c>
      <c r="AM12" s="19">
        <v>52</v>
      </c>
      <c r="AN12" s="19"/>
      <c r="AO12" s="19"/>
      <c r="AP12" s="19"/>
      <c r="AQ12" s="19"/>
      <c r="AR12" s="19"/>
    </row>
    <row r="13" spans="1:44" x14ac:dyDescent="0.3">
      <c r="A13" s="19" t="s">
        <v>148</v>
      </c>
      <c r="B13" s="19">
        <v>9</v>
      </c>
      <c r="C13" s="19" t="s">
        <v>53</v>
      </c>
      <c r="D13" s="19"/>
      <c r="E13" s="19">
        <v>20</v>
      </c>
      <c r="F13" s="19"/>
      <c r="G13" s="19">
        <v>100</v>
      </c>
      <c r="H13" s="19">
        <v>9</v>
      </c>
      <c r="I13" s="19">
        <v>8.74</v>
      </c>
      <c r="J13" s="19">
        <v>937</v>
      </c>
      <c r="K13" s="19">
        <f t="shared" si="0"/>
        <v>0.10720823798627002</v>
      </c>
      <c r="L13" s="19">
        <v>2.58</v>
      </c>
      <c r="M13" s="19">
        <f t="shared" si="1"/>
        <v>23.22</v>
      </c>
      <c r="N13" s="19">
        <v>22.54</v>
      </c>
      <c r="O13" s="19">
        <v>8.0399999999999991</v>
      </c>
      <c r="P13" s="19">
        <v>9.7799999999999994</v>
      </c>
      <c r="Q13" s="19">
        <f t="shared" si="2"/>
        <v>822085.88957055216</v>
      </c>
      <c r="R13" s="19"/>
      <c r="S13" s="19">
        <f t="shared" si="3"/>
        <v>78.631199999999993</v>
      </c>
      <c r="T13" s="19">
        <v>73.099999999999994</v>
      </c>
      <c r="U13" s="19">
        <f t="shared" si="4"/>
        <v>0.29070219359825261</v>
      </c>
      <c r="V13" s="19">
        <f t="shared" si="5"/>
        <v>22.906919370067605</v>
      </c>
      <c r="W13" s="19">
        <f t="shared" si="6"/>
        <v>1.348323126323836E-2</v>
      </c>
      <c r="X13" s="19"/>
      <c r="Y13" s="19"/>
      <c r="Z13" s="19" t="str">
        <f t="shared" si="7"/>
        <v/>
      </c>
      <c r="AA13" s="19">
        <f t="shared" si="8"/>
        <v>8.8795344462480275E-2</v>
      </c>
      <c r="AB13" s="19"/>
      <c r="AC13" s="19">
        <v>7596</v>
      </c>
      <c r="AD13" s="19">
        <v>384</v>
      </c>
      <c r="AE13" s="19">
        <v>377</v>
      </c>
      <c r="AF13" s="19">
        <v>359</v>
      </c>
      <c r="AG13" s="19">
        <v>167</v>
      </c>
      <c r="AH13" s="19">
        <v>70</v>
      </c>
      <c r="AI13" s="19">
        <v>50</v>
      </c>
      <c r="AJ13" s="19">
        <v>24</v>
      </c>
      <c r="AK13" s="19">
        <v>22</v>
      </c>
      <c r="AL13" s="19">
        <v>11</v>
      </c>
      <c r="AM13" s="19">
        <v>52</v>
      </c>
      <c r="AN13" s="19"/>
      <c r="AO13" s="19"/>
      <c r="AP13" s="19"/>
      <c r="AQ13" s="19"/>
      <c r="AR13" s="19"/>
    </row>
    <row r="14" spans="1:44" x14ac:dyDescent="0.3">
      <c r="A14" s="19" t="s">
        <v>148</v>
      </c>
      <c r="B14" s="19">
        <v>10</v>
      </c>
      <c r="C14" s="19" t="s">
        <v>53</v>
      </c>
      <c r="D14" s="19"/>
      <c r="E14" s="19">
        <v>20</v>
      </c>
      <c r="F14" s="19"/>
      <c r="G14" s="19">
        <v>100</v>
      </c>
      <c r="H14" s="19">
        <v>10</v>
      </c>
      <c r="I14" s="19">
        <v>9.7799999999999994</v>
      </c>
      <c r="J14" s="19">
        <v>1017</v>
      </c>
      <c r="K14" s="19">
        <f t="shared" si="0"/>
        <v>0.10398773006134969</v>
      </c>
      <c r="L14" s="19">
        <v>2.88</v>
      </c>
      <c r="M14" s="19">
        <f t="shared" si="1"/>
        <v>28.799999999999997</v>
      </c>
      <c r="N14" s="19">
        <v>25.65</v>
      </c>
      <c r="O14" s="19">
        <v>9.15</v>
      </c>
      <c r="P14" s="19">
        <v>11.37</v>
      </c>
      <c r="Q14" s="19">
        <f t="shared" si="2"/>
        <v>804749.34036939312</v>
      </c>
      <c r="R14" s="19"/>
      <c r="S14" s="19">
        <f t="shared" si="3"/>
        <v>104.0355</v>
      </c>
      <c r="T14" s="19">
        <v>73.900000000000006</v>
      </c>
      <c r="U14" s="19">
        <f t="shared" si="4"/>
        <v>0.27731465330237792</v>
      </c>
      <c r="V14" s="19">
        <f t="shared" si="5"/>
        <v>28.915920386460225</v>
      </c>
      <c r="W14" s="19">
        <f t="shared" si="6"/>
        <v>-4.0250134187578279E-3</v>
      </c>
      <c r="X14" s="19"/>
      <c r="Y14" s="19"/>
      <c r="Z14" s="19" t="str">
        <f t="shared" si="7"/>
        <v/>
      </c>
      <c r="AA14" s="19">
        <f t="shared" si="8"/>
        <v>8.3679384441844668E-2</v>
      </c>
      <c r="AB14" s="19"/>
      <c r="AC14" s="19">
        <v>8582</v>
      </c>
      <c r="AD14" s="19">
        <v>451</v>
      </c>
      <c r="AE14" s="19">
        <v>393</v>
      </c>
      <c r="AF14" s="19">
        <v>335</v>
      </c>
      <c r="AG14" s="19">
        <v>188</v>
      </c>
      <c r="AH14" s="19">
        <v>78</v>
      </c>
      <c r="AI14" s="19">
        <v>54</v>
      </c>
      <c r="AJ14" s="19">
        <v>24</v>
      </c>
      <c r="AK14" s="19">
        <v>23</v>
      </c>
      <c r="AL14" s="19">
        <v>14</v>
      </c>
      <c r="AM14" s="19">
        <v>52</v>
      </c>
      <c r="AN14" s="19"/>
      <c r="AO14" s="19"/>
      <c r="AP14" s="19"/>
      <c r="AQ14" s="19"/>
      <c r="AR14" s="19"/>
    </row>
    <row r="15" spans="1:44" ht="18" customHeight="1" x14ac:dyDescent="0.3">
      <c r="A15" s="59" t="s">
        <v>149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</row>
    <row r="16" spans="1:44" x14ac:dyDescent="0.3">
      <c r="A16" s="19" t="s">
        <v>150</v>
      </c>
      <c r="B16" s="19">
        <v>1</v>
      </c>
      <c r="C16" s="19" t="s">
        <v>53</v>
      </c>
      <c r="D16" s="19"/>
      <c r="E16" s="19">
        <v>10</v>
      </c>
      <c r="F16" s="19"/>
      <c r="G16" s="19">
        <v>100</v>
      </c>
      <c r="H16" s="19">
        <v>1</v>
      </c>
      <c r="I16" s="19">
        <v>0.995</v>
      </c>
      <c r="J16" s="19">
        <v>155</v>
      </c>
      <c r="K16" s="19">
        <f t="shared" ref="K16:K26" si="9">IF(COUNT(J16,I16)=0,"",IFERROR(J16/1000/I16,""))</f>
        <v>0.15577889447236182</v>
      </c>
      <c r="L16" s="19">
        <v>0.12</v>
      </c>
      <c r="M16" s="19">
        <f t="shared" ref="M16:M26" si="10">IF(COUNT(H16,L16)=0,"",IFERROR(H16*L16,""))</f>
        <v>0.12</v>
      </c>
      <c r="N16" s="19">
        <v>2.08</v>
      </c>
      <c r="O16" s="19">
        <v>0.69499999999999995</v>
      </c>
      <c r="P16" s="19">
        <v>0.41699999999999998</v>
      </c>
      <c r="Q16" s="19">
        <f t="shared" ref="Q16:Q26" si="11">IF(COUNT(O16,P16)=0,"",IFERROR(O16*1000/P16*1000,""))</f>
        <v>1666666.6666666667</v>
      </c>
      <c r="R16" s="19"/>
      <c r="S16" s="19">
        <f t="shared" ref="S16:S26" si="12">IF(COUNT(O16,P16)=0,"",IFERROR(O16*P16,""))</f>
        <v>0.28981499999999999</v>
      </c>
      <c r="T16" s="19">
        <v>73.5</v>
      </c>
      <c r="U16" s="19">
        <f t="shared" ref="U16:U26" si="13">IF(COUNT(T16)=0,"",IFERROR(COS(T16/180*PI()),""))</f>
        <v>0.28401534470392276</v>
      </c>
      <c r="V16" s="19">
        <f t="shared" ref="V16:V26" si="14">IF(COUNT(S16,T16)=0,"",IFERROR(S16*COS(T16/360*2*3.14),""))</f>
        <v>8.2492604615094348E-2</v>
      </c>
      <c r="W16" s="19">
        <f t="shared" ref="W16:W26" si="15">IF(COUNT(V16,M16)=0,"",IFERROR(1-V16/M16,""))</f>
        <v>0.31256162820754707</v>
      </c>
      <c r="X16" s="19"/>
      <c r="Y16" s="19"/>
      <c r="Z16" s="19" t="str">
        <f t="shared" ref="Z16:Z26" si="16">IFERROR(IF(OR(V16="",X16="",X16=0),"",(V16-X16)/X16*100),"")</f>
        <v/>
      </c>
      <c r="AA16" s="19">
        <f t="shared" ref="AA16:AA26" si="17">IF(COUNT(AD16,AE16,AF16,AG16,AH16,AI16,AJ16,AK16,AL16,AC16)=0,"",IFERROR(SQRT(AD16^2+AE16^2+AF16^2+AG16^2+AH16^2+AI16^2+AJ16^2+AK16^2+AL16^2)/AC16,""))</f>
        <v>0.33204856552872775</v>
      </c>
      <c r="AB16" s="19"/>
      <c r="AC16" s="19">
        <v>657</v>
      </c>
      <c r="AD16" s="19">
        <v>191</v>
      </c>
      <c r="AE16" s="19">
        <v>100</v>
      </c>
      <c r="AF16" s="19">
        <v>26</v>
      </c>
      <c r="AG16" s="19">
        <v>13</v>
      </c>
      <c r="AH16" s="19">
        <v>11</v>
      </c>
      <c r="AI16" s="19">
        <v>9</v>
      </c>
      <c r="AJ16" s="19">
        <v>8</v>
      </c>
      <c r="AK16" s="19"/>
      <c r="AL16" s="19"/>
      <c r="AM16" s="19">
        <v>25</v>
      </c>
      <c r="AN16" s="19"/>
      <c r="AO16" s="19"/>
      <c r="AP16" s="19"/>
      <c r="AQ16" s="19"/>
      <c r="AR16" s="19" t="s">
        <v>151</v>
      </c>
    </row>
    <row r="17" spans="1:44" x14ac:dyDescent="0.3">
      <c r="A17" s="19" t="s">
        <v>150</v>
      </c>
      <c r="B17" s="19">
        <v>2</v>
      </c>
      <c r="C17" s="19" t="s">
        <v>53</v>
      </c>
      <c r="D17" s="19"/>
      <c r="E17" s="19">
        <v>10</v>
      </c>
      <c r="F17" s="19"/>
      <c r="G17" s="19">
        <v>100</v>
      </c>
      <c r="H17" s="19">
        <v>2</v>
      </c>
      <c r="I17" s="19">
        <v>1.9990000000000001</v>
      </c>
      <c r="J17" s="19">
        <v>195</v>
      </c>
      <c r="K17" s="19">
        <f t="shared" si="9"/>
        <v>9.7548774387193601E-2</v>
      </c>
      <c r="L17" s="19">
        <v>0.17</v>
      </c>
      <c r="M17" s="19">
        <f t="shared" si="10"/>
        <v>0.34</v>
      </c>
      <c r="N17" s="19">
        <v>3.81</v>
      </c>
      <c r="O17" s="19">
        <v>1.31</v>
      </c>
      <c r="P17" s="19">
        <v>0.57499999999999996</v>
      </c>
      <c r="Q17" s="19">
        <f t="shared" si="11"/>
        <v>2278260.8695652173</v>
      </c>
      <c r="R17" s="19"/>
      <c r="S17" s="19">
        <f t="shared" si="12"/>
        <v>0.75324999999999998</v>
      </c>
      <c r="T17" s="19">
        <v>67.900000000000006</v>
      </c>
      <c r="U17" s="19">
        <f t="shared" si="13"/>
        <v>0.37622426313936563</v>
      </c>
      <c r="V17" s="19">
        <f t="shared" si="14"/>
        <v>0.2838101670428187</v>
      </c>
      <c r="W17" s="19">
        <f t="shared" si="15"/>
        <v>0.16526421457994511</v>
      </c>
      <c r="X17" s="19"/>
      <c r="Y17" s="19"/>
      <c r="Z17" s="19" t="str">
        <f t="shared" si="16"/>
        <v/>
      </c>
      <c r="AA17" s="19">
        <f t="shared" si="17"/>
        <v>0.19774221336929737</v>
      </c>
      <c r="AB17" s="19"/>
      <c r="AC17" s="19">
        <v>1288</v>
      </c>
      <c r="AD17" s="19">
        <v>226</v>
      </c>
      <c r="AE17" s="19">
        <v>100</v>
      </c>
      <c r="AF17" s="19">
        <v>43</v>
      </c>
      <c r="AG17" s="19">
        <v>37</v>
      </c>
      <c r="AH17" s="19">
        <v>16</v>
      </c>
      <c r="AI17" s="19">
        <v>12</v>
      </c>
      <c r="AJ17" s="19">
        <v>10</v>
      </c>
      <c r="AK17" s="19">
        <v>7</v>
      </c>
      <c r="AL17" s="19">
        <v>5</v>
      </c>
      <c r="AM17" s="19">
        <v>25</v>
      </c>
      <c r="AN17" s="19"/>
      <c r="AO17" s="19"/>
      <c r="AP17" s="19"/>
      <c r="AQ17" s="19"/>
      <c r="AR17" s="19"/>
    </row>
    <row r="18" spans="1:44" x14ac:dyDescent="0.3">
      <c r="A18" s="19" t="s">
        <v>150</v>
      </c>
      <c r="B18" s="19">
        <v>3</v>
      </c>
      <c r="C18" s="19" t="s">
        <v>53</v>
      </c>
      <c r="D18" s="19"/>
      <c r="E18" s="19">
        <v>10</v>
      </c>
      <c r="F18" s="19"/>
      <c r="G18" s="19">
        <v>100</v>
      </c>
      <c r="H18" s="19">
        <v>3</v>
      </c>
      <c r="I18" s="19">
        <v>2.98</v>
      </c>
      <c r="J18" s="19">
        <v>203</v>
      </c>
      <c r="K18" s="19">
        <f t="shared" si="9"/>
        <v>6.8120805369127527E-2</v>
      </c>
      <c r="L18" s="19">
        <v>0.27</v>
      </c>
      <c r="M18" s="19">
        <f t="shared" si="10"/>
        <v>0.81</v>
      </c>
      <c r="N18" s="19">
        <v>5.36</v>
      </c>
      <c r="O18" s="19">
        <v>1.909</v>
      </c>
      <c r="P18" s="19">
        <v>0.69599999999999995</v>
      </c>
      <c r="Q18" s="19">
        <f t="shared" si="11"/>
        <v>2742816.0919540231</v>
      </c>
      <c r="R18" s="19"/>
      <c r="S18" s="19">
        <f t="shared" si="12"/>
        <v>1.3286639999999998</v>
      </c>
      <c r="T18" s="19">
        <v>61.6</v>
      </c>
      <c r="U18" s="19">
        <f t="shared" si="13"/>
        <v>0.47562420907027531</v>
      </c>
      <c r="V18" s="19">
        <f t="shared" si="14"/>
        <v>0.63258169144680665</v>
      </c>
      <c r="W18" s="19">
        <f t="shared" si="15"/>
        <v>0.21903494883110297</v>
      </c>
      <c r="X18" s="19"/>
      <c r="Y18" s="19"/>
      <c r="Z18" s="19" t="str">
        <f t="shared" si="16"/>
        <v/>
      </c>
      <c r="AA18" s="19">
        <f t="shared" si="17"/>
        <v>0.12343829261397385</v>
      </c>
      <c r="AB18" s="19"/>
      <c r="AC18" s="19">
        <v>1888</v>
      </c>
      <c r="AD18" s="19">
        <v>192</v>
      </c>
      <c r="AE18" s="19">
        <v>100</v>
      </c>
      <c r="AF18" s="19">
        <v>67</v>
      </c>
      <c r="AG18" s="19">
        <v>47</v>
      </c>
      <c r="AH18" s="19">
        <v>21</v>
      </c>
      <c r="AI18" s="19">
        <v>12</v>
      </c>
      <c r="AJ18" s="19">
        <v>9</v>
      </c>
      <c r="AK18" s="19">
        <v>7</v>
      </c>
      <c r="AL18" s="19">
        <v>6</v>
      </c>
      <c r="AM18" s="19">
        <v>25</v>
      </c>
      <c r="AN18" s="19"/>
      <c r="AO18" s="19"/>
      <c r="AP18" s="19"/>
      <c r="AQ18" s="19"/>
      <c r="AR18" s="19"/>
    </row>
    <row r="19" spans="1:44" x14ac:dyDescent="0.3">
      <c r="A19" s="19" t="s">
        <v>150</v>
      </c>
      <c r="B19" s="19">
        <v>4</v>
      </c>
      <c r="C19" s="19" t="s">
        <v>53</v>
      </c>
      <c r="D19" s="19"/>
      <c r="E19" s="19">
        <v>10</v>
      </c>
      <c r="F19" s="19"/>
      <c r="G19" s="19">
        <v>100</v>
      </c>
      <c r="H19" s="19">
        <v>4</v>
      </c>
      <c r="I19" s="19">
        <v>3.9889999999999999</v>
      </c>
      <c r="J19" s="19">
        <v>203</v>
      </c>
      <c r="K19" s="19">
        <f t="shared" si="9"/>
        <v>5.0889947355226881E-2</v>
      </c>
      <c r="L19" s="19">
        <v>0.33</v>
      </c>
      <c r="M19" s="19">
        <f t="shared" si="10"/>
        <v>1.32</v>
      </c>
      <c r="N19" s="19">
        <v>6.98</v>
      </c>
      <c r="O19" s="19">
        <v>2.5089999999999999</v>
      </c>
      <c r="P19" s="19">
        <v>0.83299999999999996</v>
      </c>
      <c r="Q19" s="19">
        <f t="shared" si="11"/>
        <v>3012004.8019207683</v>
      </c>
      <c r="R19" s="19"/>
      <c r="S19" s="19">
        <f t="shared" si="12"/>
        <v>2.0899969999999999</v>
      </c>
      <c r="T19" s="19">
        <v>62.6</v>
      </c>
      <c r="U19" s="19">
        <f t="shared" si="13"/>
        <v>0.46019978478385171</v>
      </c>
      <c r="V19" s="19">
        <f t="shared" si="14"/>
        <v>0.96284378146554361</v>
      </c>
      <c r="W19" s="19">
        <f t="shared" si="15"/>
        <v>0.27057289282913366</v>
      </c>
      <c r="X19" s="19"/>
      <c r="Y19" s="19"/>
      <c r="Z19" s="19" t="str">
        <f t="shared" si="16"/>
        <v/>
      </c>
      <c r="AA19" s="19">
        <f t="shared" si="17"/>
        <v>8.4930094719559271E-2</v>
      </c>
      <c r="AB19" s="19"/>
      <c r="AC19" s="19">
        <v>2491</v>
      </c>
      <c r="AD19" s="19">
        <v>154</v>
      </c>
      <c r="AE19" s="19">
        <v>104</v>
      </c>
      <c r="AF19" s="19">
        <v>74</v>
      </c>
      <c r="AG19" s="19">
        <v>59</v>
      </c>
      <c r="AH19" s="19">
        <v>29</v>
      </c>
      <c r="AI19" s="19">
        <v>16</v>
      </c>
      <c r="AJ19" s="19">
        <v>10</v>
      </c>
      <c r="AK19" s="19">
        <v>6</v>
      </c>
      <c r="AL19" s="19">
        <v>6</v>
      </c>
      <c r="AM19" s="19">
        <v>26</v>
      </c>
      <c r="AN19" s="19"/>
      <c r="AO19" s="19"/>
      <c r="AP19" s="19"/>
      <c r="AQ19" s="19"/>
      <c r="AR19" s="19" t="s">
        <v>152</v>
      </c>
    </row>
    <row r="20" spans="1:44" x14ac:dyDescent="0.3">
      <c r="A20" s="19" t="s">
        <v>150</v>
      </c>
      <c r="B20" s="19">
        <v>5</v>
      </c>
      <c r="C20" s="19" t="s">
        <v>53</v>
      </c>
      <c r="D20" s="19"/>
      <c r="E20" s="19">
        <v>10</v>
      </c>
      <c r="F20" s="19"/>
      <c r="G20" s="19">
        <v>100</v>
      </c>
      <c r="H20" s="19">
        <v>5</v>
      </c>
      <c r="I20" s="19">
        <v>4.9800000000000004</v>
      </c>
      <c r="J20" s="19">
        <v>223</v>
      </c>
      <c r="K20" s="19">
        <f t="shared" si="9"/>
        <v>4.4779116465863453E-2</v>
      </c>
      <c r="L20" s="19">
        <v>0.43</v>
      </c>
      <c r="M20" s="19">
        <f t="shared" si="10"/>
        <v>2.15</v>
      </c>
      <c r="N20" s="19">
        <v>8.5299999999999994</v>
      </c>
      <c r="O20" s="19">
        <v>3.09</v>
      </c>
      <c r="P20" s="19">
        <v>1.01</v>
      </c>
      <c r="Q20" s="19">
        <f t="shared" si="11"/>
        <v>3059405.9405940594</v>
      </c>
      <c r="R20" s="19"/>
      <c r="S20" s="19">
        <f t="shared" si="12"/>
        <v>3.1208999999999998</v>
      </c>
      <c r="T20" s="19">
        <v>57.8</v>
      </c>
      <c r="U20" s="19">
        <f t="shared" si="13"/>
        <v>0.53287627607073018</v>
      </c>
      <c r="V20" s="19">
        <f t="shared" si="14"/>
        <v>1.6644039502048171</v>
      </c>
      <c r="W20" s="19">
        <f t="shared" si="15"/>
        <v>0.22585862781171295</v>
      </c>
      <c r="X20" s="19"/>
      <c r="Y20" s="19"/>
      <c r="Z20" s="19" t="str">
        <f t="shared" si="16"/>
        <v/>
      </c>
      <c r="AA20" s="19">
        <f t="shared" si="17"/>
        <v>8.9989993350547262E-2</v>
      </c>
      <c r="AB20" s="19"/>
      <c r="AC20" s="19">
        <v>3069</v>
      </c>
      <c r="AD20" s="19">
        <v>197</v>
      </c>
      <c r="AE20" s="19">
        <v>154</v>
      </c>
      <c r="AF20" s="19">
        <v>82</v>
      </c>
      <c r="AG20" s="19">
        <v>71</v>
      </c>
      <c r="AH20" s="19">
        <v>36</v>
      </c>
      <c r="AI20" s="19">
        <v>20</v>
      </c>
      <c r="AJ20" s="19">
        <v>12</v>
      </c>
      <c r="AK20" s="19">
        <v>9</v>
      </c>
      <c r="AL20" s="19">
        <v>8</v>
      </c>
      <c r="AM20" s="19">
        <v>28</v>
      </c>
      <c r="AN20" s="19"/>
      <c r="AO20" s="19"/>
      <c r="AP20" s="19"/>
      <c r="AQ20" s="19"/>
      <c r="AR20" s="19" t="s">
        <v>153</v>
      </c>
    </row>
    <row r="21" spans="1:44" x14ac:dyDescent="0.3">
      <c r="A21" s="19" t="s">
        <v>150</v>
      </c>
      <c r="B21" s="19">
        <v>6</v>
      </c>
      <c r="C21" s="19" t="s">
        <v>53</v>
      </c>
      <c r="D21" s="19"/>
      <c r="E21" s="19">
        <v>10</v>
      </c>
      <c r="F21" s="19"/>
      <c r="G21" s="19">
        <v>100</v>
      </c>
      <c r="H21" s="19">
        <v>6</v>
      </c>
      <c r="I21" s="19">
        <v>5.99</v>
      </c>
      <c r="J21" s="19">
        <v>303</v>
      </c>
      <c r="K21" s="19">
        <f t="shared" si="9"/>
        <v>5.0584307178631049E-2</v>
      </c>
      <c r="L21" s="19">
        <v>0.52</v>
      </c>
      <c r="M21" s="19">
        <f t="shared" si="10"/>
        <v>3.12</v>
      </c>
      <c r="N21" s="19">
        <v>10.38</v>
      </c>
      <c r="O21" s="19">
        <v>3.7789999999999999</v>
      </c>
      <c r="P21" s="19">
        <v>1.2070000000000001</v>
      </c>
      <c r="Q21" s="19">
        <f t="shared" si="11"/>
        <v>3130903.0654515326</v>
      </c>
      <c r="R21" s="19"/>
      <c r="S21" s="19">
        <f t="shared" si="12"/>
        <v>4.5612529999999998</v>
      </c>
      <c r="T21" s="19">
        <v>58.74</v>
      </c>
      <c r="U21" s="19">
        <f t="shared" si="13"/>
        <v>0.51892246052797153</v>
      </c>
      <c r="V21" s="19">
        <f t="shared" si="14"/>
        <v>2.3689627898159977</v>
      </c>
      <c r="W21" s="19">
        <f t="shared" si="15"/>
        <v>0.24071705454615455</v>
      </c>
      <c r="X21" s="19"/>
      <c r="Y21" s="19"/>
      <c r="Z21" s="19" t="str">
        <f t="shared" si="16"/>
        <v/>
      </c>
      <c r="AA21" s="19">
        <f t="shared" si="17"/>
        <v>0.17419321043654501</v>
      </c>
      <c r="AB21" s="19"/>
      <c r="AC21" s="19">
        <v>3722</v>
      </c>
      <c r="AD21" s="19">
        <v>603</v>
      </c>
      <c r="AE21" s="19">
        <v>187</v>
      </c>
      <c r="AF21" s="19">
        <v>102</v>
      </c>
      <c r="AG21" s="19">
        <v>91</v>
      </c>
      <c r="AH21" s="19">
        <v>46</v>
      </c>
      <c r="AI21" s="19">
        <v>23</v>
      </c>
      <c r="AJ21" s="19">
        <v>15</v>
      </c>
      <c r="AK21" s="19">
        <v>11</v>
      </c>
      <c r="AL21" s="19">
        <v>10</v>
      </c>
      <c r="AM21" s="19">
        <v>29</v>
      </c>
      <c r="AN21" s="19"/>
      <c r="AO21" s="19"/>
      <c r="AP21" s="19"/>
      <c r="AQ21" s="19"/>
      <c r="AR21" s="19"/>
    </row>
    <row r="22" spans="1:44" x14ac:dyDescent="0.3">
      <c r="A22" s="19" t="s">
        <v>150</v>
      </c>
      <c r="B22" s="19">
        <v>7</v>
      </c>
      <c r="C22" s="19" t="s">
        <v>53</v>
      </c>
      <c r="D22" s="19"/>
      <c r="E22" s="19">
        <v>10</v>
      </c>
      <c r="F22" s="19"/>
      <c r="G22" s="19">
        <v>100</v>
      </c>
      <c r="H22" s="19">
        <v>7</v>
      </c>
      <c r="I22" s="19">
        <v>6.98</v>
      </c>
      <c r="J22" s="19">
        <v>343</v>
      </c>
      <c r="K22" s="19">
        <f t="shared" si="9"/>
        <v>4.9140401146131808E-2</v>
      </c>
      <c r="L22" s="19">
        <v>0.59</v>
      </c>
      <c r="M22" s="19">
        <f t="shared" si="10"/>
        <v>4.13</v>
      </c>
      <c r="N22" s="19">
        <v>12.18</v>
      </c>
      <c r="O22" s="19">
        <v>4.42</v>
      </c>
      <c r="P22" s="19">
        <v>1.4610000000000001</v>
      </c>
      <c r="Q22" s="19">
        <f t="shared" si="11"/>
        <v>3025325.1197809717</v>
      </c>
      <c r="R22" s="19"/>
      <c r="S22" s="19">
        <f t="shared" si="12"/>
        <v>6.4576200000000004</v>
      </c>
      <c r="T22" s="19">
        <v>58.78</v>
      </c>
      <c r="U22" s="19">
        <f t="shared" si="13"/>
        <v>0.51832555625993071</v>
      </c>
      <c r="V22" s="19">
        <f t="shared" si="14"/>
        <v>3.350021195784028</v>
      </c>
      <c r="W22" s="19">
        <f t="shared" si="15"/>
        <v>0.18885685332105862</v>
      </c>
      <c r="X22" s="19"/>
      <c r="Y22" s="19"/>
      <c r="Z22" s="19" t="str">
        <f t="shared" si="16"/>
        <v/>
      </c>
      <c r="AA22" s="19">
        <f t="shared" si="17"/>
        <v>0.16510592222566542</v>
      </c>
      <c r="AB22" s="19"/>
      <c r="AC22" s="19">
        <v>4387</v>
      </c>
      <c r="AD22" s="19">
        <v>631</v>
      </c>
      <c r="AE22" s="19">
        <v>295</v>
      </c>
      <c r="AF22" s="19">
        <v>141</v>
      </c>
      <c r="AG22" s="19">
        <v>122</v>
      </c>
      <c r="AH22" s="19">
        <v>50</v>
      </c>
      <c r="AI22" s="19">
        <v>34</v>
      </c>
      <c r="AJ22" s="19">
        <v>26</v>
      </c>
      <c r="AK22" s="19">
        <v>16</v>
      </c>
      <c r="AL22" s="19">
        <v>10</v>
      </c>
      <c r="AM22" s="19">
        <v>32</v>
      </c>
      <c r="AN22" s="19"/>
      <c r="AO22" s="19"/>
      <c r="AP22" s="19"/>
      <c r="AQ22" s="19"/>
      <c r="AR22" s="19"/>
    </row>
    <row r="23" spans="1:44" x14ac:dyDescent="0.3">
      <c r="A23" s="19" t="s">
        <v>150</v>
      </c>
      <c r="B23" s="19">
        <v>8</v>
      </c>
      <c r="C23" s="19" t="s">
        <v>53</v>
      </c>
      <c r="D23" s="19"/>
      <c r="E23" s="19">
        <v>10</v>
      </c>
      <c r="F23" s="19"/>
      <c r="G23" s="19">
        <v>100</v>
      </c>
      <c r="H23" s="19">
        <v>8</v>
      </c>
      <c r="I23" s="19">
        <v>7.99</v>
      </c>
      <c r="J23" s="19">
        <v>391</v>
      </c>
      <c r="K23" s="19">
        <f t="shared" si="9"/>
        <v>4.8936170212765959E-2</v>
      </c>
      <c r="L23" s="19">
        <v>0.68</v>
      </c>
      <c r="M23" s="19">
        <f t="shared" si="10"/>
        <v>5.44</v>
      </c>
      <c r="N23" s="19">
        <v>14.57</v>
      </c>
      <c r="O23" s="19">
        <v>5.2110000000000003</v>
      </c>
      <c r="P23" s="19">
        <v>1.9159999999999999</v>
      </c>
      <c r="Q23" s="19">
        <f t="shared" si="11"/>
        <v>2719728.6012526099</v>
      </c>
      <c r="R23" s="19"/>
      <c r="S23" s="19">
        <f t="shared" si="12"/>
        <v>9.9842759999999995</v>
      </c>
      <c r="T23" s="19">
        <v>62.2</v>
      </c>
      <c r="U23" s="19">
        <f t="shared" si="13"/>
        <v>0.46638664033989125</v>
      </c>
      <c r="V23" s="19">
        <f t="shared" si="14"/>
        <v>4.6613928735330195</v>
      </c>
      <c r="W23" s="19">
        <f t="shared" si="15"/>
        <v>0.14312631001231269</v>
      </c>
      <c r="X23" s="19"/>
      <c r="Y23" s="19"/>
      <c r="Z23" s="19" t="str">
        <f t="shared" si="16"/>
        <v/>
      </c>
      <c r="AA23" s="19">
        <f t="shared" si="17"/>
        <v>0.17163543794832331</v>
      </c>
      <c r="AB23" s="19"/>
      <c r="AC23" s="19">
        <v>5123</v>
      </c>
      <c r="AD23" s="19">
        <v>636</v>
      </c>
      <c r="AE23" s="19">
        <v>548</v>
      </c>
      <c r="AF23" s="19">
        <v>209</v>
      </c>
      <c r="AG23" s="19">
        <v>132</v>
      </c>
      <c r="AH23" s="19">
        <v>58</v>
      </c>
      <c r="AI23" s="19">
        <v>47</v>
      </c>
      <c r="AJ23" s="19">
        <v>34</v>
      </c>
      <c r="AK23" s="19">
        <v>17</v>
      </c>
      <c r="AL23" s="19">
        <v>15</v>
      </c>
      <c r="AM23" s="19">
        <v>35</v>
      </c>
      <c r="AN23" s="19"/>
      <c r="AO23" s="19"/>
      <c r="AP23" s="19"/>
      <c r="AQ23" s="19"/>
      <c r="AR23" s="19"/>
    </row>
    <row r="24" spans="1:44" x14ac:dyDescent="0.3">
      <c r="A24" s="19" t="s">
        <v>150</v>
      </c>
      <c r="B24" s="19">
        <v>9</v>
      </c>
      <c r="C24" s="19" t="s">
        <v>53</v>
      </c>
      <c r="D24" s="19"/>
      <c r="E24" s="19">
        <v>10</v>
      </c>
      <c r="F24" s="19"/>
      <c r="G24" s="19">
        <v>100</v>
      </c>
      <c r="H24" s="19">
        <v>9</v>
      </c>
      <c r="I24" s="19">
        <v>8.98</v>
      </c>
      <c r="J24" s="19">
        <v>510</v>
      </c>
      <c r="K24" s="19">
        <f t="shared" si="9"/>
        <v>5.6792873051224942E-2</v>
      </c>
      <c r="L24" s="19">
        <v>0.7</v>
      </c>
      <c r="M24" s="19">
        <f t="shared" si="10"/>
        <v>6.3</v>
      </c>
      <c r="N24" s="19">
        <v>16.53</v>
      </c>
      <c r="O24" s="19">
        <v>6.0449999999999999</v>
      </c>
      <c r="P24" s="19">
        <v>2.3319999999999999</v>
      </c>
      <c r="Q24" s="19">
        <f t="shared" si="11"/>
        <v>2592195.5403087484</v>
      </c>
      <c r="R24" s="19"/>
      <c r="S24" s="19">
        <f t="shared" si="12"/>
        <v>14.096939999999998</v>
      </c>
      <c r="T24" s="19">
        <v>65.400000000000006</v>
      </c>
      <c r="U24" s="19">
        <f t="shared" si="13"/>
        <v>0.41628079226040116</v>
      </c>
      <c r="V24" s="19">
        <f t="shared" si="14"/>
        <v>5.8757013655718646</v>
      </c>
      <c r="W24" s="19">
        <f t="shared" si="15"/>
        <v>6.7348989591767494E-2</v>
      </c>
      <c r="X24" s="19"/>
      <c r="Y24" s="19"/>
      <c r="Z24" s="19" t="str">
        <f t="shared" si="16"/>
        <v/>
      </c>
      <c r="AA24" s="19">
        <f t="shared" si="17"/>
        <v>0.2750793175883674</v>
      </c>
      <c r="AB24" s="19"/>
      <c r="AC24" s="19">
        <v>5845</v>
      </c>
      <c r="AD24" s="19">
        <v>1325</v>
      </c>
      <c r="AE24" s="19">
        <v>860</v>
      </c>
      <c r="AF24" s="19">
        <v>265</v>
      </c>
      <c r="AG24" s="19">
        <v>91</v>
      </c>
      <c r="AH24" s="19">
        <v>70</v>
      </c>
      <c r="AI24" s="19">
        <v>62</v>
      </c>
      <c r="AJ24" s="19">
        <v>35</v>
      </c>
      <c r="AK24" s="19">
        <v>31</v>
      </c>
      <c r="AL24" s="19">
        <v>22</v>
      </c>
      <c r="AM24" s="19">
        <v>36</v>
      </c>
      <c r="AN24" s="19"/>
      <c r="AO24" s="19"/>
      <c r="AP24" s="19"/>
      <c r="AQ24" s="19"/>
      <c r="AR24" s="19"/>
    </row>
    <row r="25" spans="1:44" x14ac:dyDescent="0.3">
      <c r="A25" s="19" t="s">
        <v>150</v>
      </c>
      <c r="B25" s="19">
        <v>10</v>
      </c>
      <c r="C25" s="19" t="s">
        <v>53</v>
      </c>
      <c r="D25" s="19"/>
      <c r="E25" s="19">
        <v>10</v>
      </c>
      <c r="F25" s="19"/>
      <c r="G25" s="19">
        <v>100</v>
      </c>
      <c r="H25" s="19">
        <v>10</v>
      </c>
      <c r="I25" s="19">
        <v>9.98</v>
      </c>
      <c r="J25" s="19">
        <v>303</v>
      </c>
      <c r="K25" s="19">
        <f t="shared" si="9"/>
        <v>3.036072144288577E-2</v>
      </c>
      <c r="L25" s="19">
        <v>0.51</v>
      </c>
      <c r="M25" s="19">
        <f t="shared" si="10"/>
        <v>5.0999999999999996</v>
      </c>
      <c r="N25" s="19">
        <v>17.71</v>
      </c>
      <c r="O25" s="19">
        <v>6.6630000000000003</v>
      </c>
      <c r="P25" s="19">
        <v>2.141</v>
      </c>
      <c r="Q25" s="19">
        <f t="shared" si="11"/>
        <v>3112097.1508640824</v>
      </c>
      <c r="R25" s="19"/>
      <c r="S25" s="19">
        <f t="shared" si="12"/>
        <v>14.265483000000001</v>
      </c>
      <c r="T25" s="19">
        <v>66.36</v>
      </c>
      <c r="U25" s="19">
        <f t="shared" si="13"/>
        <v>0.40098867681323747</v>
      </c>
      <c r="V25" s="19">
        <f t="shared" si="14"/>
        <v>5.7279693655707726</v>
      </c>
      <c r="W25" s="19">
        <f t="shared" si="15"/>
        <v>-0.12313124815113197</v>
      </c>
      <c r="X25" s="19"/>
      <c r="Y25" s="19"/>
      <c r="Z25" s="19" t="str">
        <f t="shared" si="16"/>
        <v/>
      </c>
      <c r="AA25" s="19">
        <f t="shared" si="17"/>
        <v>0.25786000812019494</v>
      </c>
      <c r="AB25" s="19"/>
      <c r="AC25" s="19">
        <v>6437</v>
      </c>
      <c r="AD25" s="19">
        <v>1333</v>
      </c>
      <c r="AE25" s="19">
        <v>930</v>
      </c>
      <c r="AF25" s="19">
        <v>290</v>
      </c>
      <c r="AG25" s="19">
        <v>104</v>
      </c>
      <c r="AH25" s="19">
        <v>95</v>
      </c>
      <c r="AI25" s="19">
        <v>65</v>
      </c>
      <c r="AJ25" s="19">
        <v>55</v>
      </c>
      <c r="AK25" s="19">
        <v>43</v>
      </c>
      <c r="AL25" s="19">
        <v>16</v>
      </c>
      <c r="AM25" s="19">
        <v>31</v>
      </c>
      <c r="AN25" s="19"/>
      <c r="AO25" s="19"/>
      <c r="AP25" s="19"/>
      <c r="AQ25" s="19"/>
      <c r="AR25" s="19"/>
    </row>
    <row r="26" spans="1:44" x14ac:dyDescent="0.3">
      <c r="A26" s="19" t="s">
        <v>150</v>
      </c>
      <c r="B26" s="19">
        <v>11</v>
      </c>
      <c r="C26" s="19" t="s">
        <v>53</v>
      </c>
      <c r="D26" s="19"/>
      <c r="E26" s="19">
        <v>10</v>
      </c>
      <c r="F26" s="19"/>
      <c r="G26" s="19">
        <v>100</v>
      </c>
      <c r="H26" s="19">
        <v>11</v>
      </c>
      <c r="I26" s="19"/>
      <c r="J26" s="19"/>
      <c r="K26" s="19" t="str">
        <f t="shared" si="9"/>
        <v/>
      </c>
      <c r="L26" s="19"/>
      <c r="M26" s="19">
        <f t="shared" si="10"/>
        <v>0</v>
      </c>
      <c r="N26" s="19"/>
      <c r="O26" s="19"/>
      <c r="P26" s="19"/>
      <c r="Q26" s="19" t="str">
        <f t="shared" si="11"/>
        <v/>
      </c>
      <c r="R26" s="19"/>
      <c r="S26" s="19" t="str">
        <f t="shared" si="12"/>
        <v/>
      </c>
      <c r="T26" s="19"/>
      <c r="U26" s="19" t="str">
        <f t="shared" si="13"/>
        <v/>
      </c>
      <c r="V26" s="19" t="str">
        <f t="shared" si="14"/>
        <v/>
      </c>
      <c r="W26" s="19" t="str">
        <f t="shared" si="15"/>
        <v/>
      </c>
      <c r="X26" s="19"/>
      <c r="Y26" s="19"/>
      <c r="Z26" s="19" t="str">
        <f t="shared" si="16"/>
        <v/>
      </c>
      <c r="AA26" s="19" t="str">
        <f t="shared" si="17"/>
        <v/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 t="s">
        <v>154</v>
      </c>
    </row>
    <row r="27" spans="1:44" ht="18" customHeight="1" x14ac:dyDescent="0.3">
      <c r="A27" s="59" t="s">
        <v>155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</row>
    <row r="28" spans="1:44" x14ac:dyDescent="0.3">
      <c r="A28" s="19" t="s">
        <v>156</v>
      </c>
      <c r="B28" s="19">
        <v>1</v>
      </c>
      <c r="C28" s="19" t="s">
        <v>53</v>
      </c>
      <c r="D28" s="19"/>
      <c r="E28" s="19">
        <v>15</v>
      </c>
      <c r="F28" s="19"/>
      <c r="G28" s="19">
        <v>100</v>
      </c>
      <c r="H28" s="19">
        <v>1</v>
      </c>
      <c r="I28" s="19"/>
      <c r="J28" s="19">
        <v>71</v>
      </c>
      <c r="K28" s="19" t="str">
        <f t="shared" ref="K28:K37" si="18">IF(COUNT(J28,I28)=0,"",IFERROR(J28/1000/I28,""))</f>
        <v/>
      </c>
      <c r="L28" s="19">
        <v>0.13</v>
      </c>
      <c r="M28" s="19">
        <f t="shared" ref="M28:M37" si="19">IF(COUNT(H28,L28)=0,"",IFERROR(H28*L28,""))</f>
        <v>0.13</v>
      </c>
      <c r="N28" s="19">
        <v>1.89</v>
      </c>
      <c r="O28" s="19">
        <v>0.70599999999999996</v>
      </c>
      <c r="P28" s="19">
        <v>0.44800000000000001</v>
      </c>
      <c r="Q28" s="19">
        <f t="shared" ref="Q28:Q37" si="20">IF(COUNT(O28,P28)=0,"",IFERROR(O28*1000/P28*1000,""))</f>
        <v>1575892.857142857</v>
      </c>
      <c r="R28" s="19"/>
      <c r="S28" s="19">
        <f t="shared" ref="S28:S37" si="21">IF(COUNT(O28,P28)=0,"",IFERROR(O28*P28,""))</f>
        <v>0.31628800000000001</v>
      </c>
      <c r="T28" s="19">
        <v>78.5</v>
      </c>
      <c r="U28" s="19">
        <f t="shared" ref="U28:U37" si="22">IF(COUNT(T28)=0,"",IFERROR(COS(T28/180*PI()),""))</f>
        <v>0.19936793441719719</v>
      </c>
      <c r="V28" s="19">
        <f t="shared" ref="V28:V37" si="23">IF(COUNT(S28,T28)=0,"",IFERROR(S28*COS(T28/360*2*3.14),""))</f>
        <v>6.3272945161943234E-2</v>
      </c>
      <c r="W28" s="19">
        <f t="shared" ref="W28:W37" si="24">IF(COUNT(V28,M28)=0,"",IFERROR(1-V28/M28,""))</f>
        <v>0.5132850372158213</v>
      </c>
      <c r="X28" s="19">
        <v>6.2E-2</v>
      </c>
      <c r="Y28" s="19">
        <v>0.19600000000000001</v>
      </c>
      <c r="Z28" s="19">
        <f t="shared" ref="Z28:Z37" si="25">IFERROR(IF(OR(V28="",X28="",X28=0),"",(V28-X28)/X28*100),"")</f>
        <v>2.0531373579729584</v>
      </c>
      <c r="AA28" s="19">
        <f t="shared" ref="AA28:AA37" si="26">IF(COUNT(AD28,AE28,AF28,AG28,AH28,AI28,AJ28,AK28,AL28,AC28)=0,"",IFERROR(SQRT(AD28^2+AE28^2+AF28^2+AG28^2+AH28^2+AI28^2+AJ28^2+AK28^2+AL28^2)/AC28,""))</f>
        <v>0.31048967918099141</v>
      </c>
      <c r="AB28" s="19"/>
      <c r="AC28" s="19">
        <v>675</v>
      </c>
      <c r="AD28" s="19">
        <v>203</v>
      </c>
      <c r="AE28" s="19">
        <v>45</v>
      </c>
      <c r="AF28" s="19">
        <v>20</v>
      </c>
      <c r="AG28" s="19">
        <v>13</v>
      </c>
      <c r="AH28" s="19">
        <v>11</v>
      </c>
      <c r="AI28" s="19"/>
      <c r="AJ28" s="19"/>
      <c r="AK28" s="19"/>
      <c r="AL28" s="19"/>
      <c r="AM28" s="19">
        <v>26</v>
      </c>
      <c r="AN28" s="19"/>
      <c r="AO28" s="19"/>
      <c r="AP28" s="19"/>
      <c r="AQ28" s="19"/>
      <c r="AR28" s="19"/>
    </row>
    <row r="29" spans="1:44" x14ac:dyDescent="0.3">
      <c r="A29" s="19" t="s">
        <v>156</v>
      </c>
      <c r="B29" s="19">
        <v>2</v>
      </c>
      <c r="C29" s="19" t="s">
        <v>53</v>
      </c>
      <c r="D29" s="19"/>
      <c r="E29" s="19">
        <v>15</v>
      </c>
      <c r="F29" s="19"/>
      <c r="G29" s="19">
        <v>100</v>
      </c>
      <c r="H29" s="19">
        <v>2</v>
      </c>
      <c r="I29" s="19">
        <v>2</v>
      </c>
      <c r="J29" s="19">
        <v>105</v>
      </c>
      <c r="K29" s="19">
        <f t="shared" si="18"/>
        <v>5.2499999999999998E-2</v>
      </c>
      <c r="L29" s="19">
        <v>0.36</v>
      </c>
      <c r="M29" s="19">
        <f t="shared" si="19"/>
        <v>0.72</v>
      </c>
      <c r="N29" s="19">
        <v>3.55</v>
      </c>
      <c r="O29" s="19">
        <v>1.21</v>
      </c>
      <c r="P29" s="19">
        <v>0.72899999999999998</v>
      </c>
      <c r="Q29" s="19">
        <f t="shared" si="20"/>
        <v>1659807.9561042525</v>
      </c>
      <c r="R29" s="19"/>
      <c r="S29" s="19">
        <f t="shared" si="21"/>
        <v>0.88208999999999993</v>
      </c>
      <c r="T29" s="19">
        <v>61</v>
      </c>
      <c r="U29" s="19">
        <f t="shared" si="22"/>
        <v>0.48480962024633711</v>
      </c>
      <c r="V29" s="19">
        <f t="shared" si="23"/>
        <v>0.42806205570137945</v>
      </c>
      <c r="W29" s="19">
        <f t="shared" si="24"/>
        <v>0.40546936708141745</v>
      </c>
      <c r="X29" s="19">
        <v>0.40500000000000003</v>
      </c>
      <c r="Y29" s="19">
        <v>0.495</v>
      </c>
      <c r="Z29" s="19">
        <f t="shared" si="25"/>
        <v>5.694334741081339</v>
      </c>
      <c r="AA29" s="19">
        <f t="shared" si="26"/>
        <v>0.17209461907051146</v>
      </c>
      <c r="AB29" s="19"/>
      <c r="AC29" s="19">
        <v>1239</v>
      </c>
      <c r="AD29" s="19">
        <v>208</v>
      </c>
      <c r="AE29" s="19">
        <v>35</v>
      </c>
      <c r="AF29" s="19">
        <v>23</v>
      </c>
      <c r="AG29" s="19">
        <v>16</v>
      </c>
      <c r="AH29" s="19">
        <v>9</v>
      </c>
      <c r="AI29" s="19">
        <v>7</v>
      </c>
      <c r="AJ29" s="19">
        <v>6</v>
      </c>
      <c r="AK29" s="19">
        <v>5</v>
      </c>
      <c r="AL29" s="19"/>
      <c r="AM29" s="19">
        <v>28</v>
      </c>
      <c r="AN29" s="19"/>
      <c r="AO29" s="19"/>
      <c r="AP29" s="19"/>
      <c r="AQ29" s="19"/>
      <c r="AR29" s="19"/>
    </row>
    <row r="30" spans="1:44" x14ac:dyDescent="0.3">
      <c r="A30" s="19" t="s">
        <v>156</v>
      </c>
      <c r="B30" s="19">
        <v>3</v>
      </c>
      <c r="C30" s="19" t="s">
        <v>53</v>
      </c>
      <c r="D30" s="19"/>
      <c r="E30" s="19">
        <v>15</v>
      </c>
      <c r="F30" s="19"/>
      <c r="G30" s="19">
        <v>100</v>
      </c>
      <c r="H30" s="19">
        <v>3</v>
      </c>
      <c r="I30" s="19">
        <v>3</v>
      </c>
      <c r="J30" s="19">
        <v>175</v>
      </c>
      <c r="K30" s="19">
        <f t="shared" si="18"/>
        <v>5.8333333333333327E-2</v>
      </c>
      <c r="L30" s="19">
        <v>0.56000000000000005</v>
      </c>
      <c r="M30" s="19">
        <f t="shared" si="19"/>
        <v>1.6800000000000002</v>
      </c>
      <c r="N30" s="19">
        <v>5.13</v>
      </c>
      <c r="O30" s="19">
        <v>1.75</v>
      </c>
      <c r="P30" s="19">
        <v>0.97699999999999998</v>
      </c>
      <c r="Q30" s="19">
        <f t="shared" si="20"/>
        <v>1791197.5435005117</v>
      </c>
      <c r="R30" s="19"/>
      <c r="S30" s="19">
        <f t="shared" si="21"/>
        <v>1.7097499999999999</v>
      </c>
      <c r="T30" s="19">
        <v>58.6</v>
      </c>
      <c r="U30" s="19">
        <f t="shared" si="22"/>
        <v>0.52100963184057647</v>
      </c>
      <c r="V30" s="19">
        <f t="shared" si="23"/>
        <v>0.8915527715837569</v>
      </c>
      <c r="W30" s="19">
        <f t="shared" si="24"/>
        <v>0.46931382643824004</v>
      </c>
      <c r="X30" s="19">
        <v>0.91700000000000004</v>
      </c>
      <c r="Y30" s="19">
        <v>0.52200000000000002</v>
      </c>
      <c r="Z30" s="19">
        <f t="shared" si="25"/>
        <v>-2.7750521718912911</v>
      </c>
      <c r="AA30" s="19">
        <f t="shared" si="26"/>
        <v>0.12831043021856028</v>
      </c>
      <c r="AB30" s="19"/>
      <c r="AC30" s="19">
        <v>1756</v>
      </c>
      <c r="AD30" s="19">
        <v>209</v>
      </c>
      <c r="AE30" s="19">
        <v>74</v>
      </c>
      <c r="AF30" s="19">
        <v>26</v>
      </c>
      <c r="AG30" s="19">
        <v>24</v>
      </c>
      <c r="AH30" s="19">
        <v>12</v>
      </c>
      <c r="AI30" s="19">
        <v>10</v>
      </c>
      <c r="AJ30" s="19">
        <v>8</v>
      </c>
      <c r="AK30" s="19">
        <v>7</v>
      </c>
      <c r="AL30" s="19"/>
      <c r="AM30" s="19">
        <v>33</v>
      </c>
      <c r="AN30" s="19"/>
      <c r="AO30" s="19"/>
      <c r="AP30" s="19"/>
      <c r="AQ30" s="19"/>
      <c r="AR30" s="19"/>
    </row>
    <row r="31" spans="1:44" x14ac:dyDescent="0.3">
      <c r="A31" s="19" t="s">
        <v>156</v>
      </c>
      <c r="B31" s="19">
        <v>4</v>
      </c>
      <c r="C31" s="19" t="s">
        <v>53</v>
      </c>
      <c r="D31" s="19"/>
      <c r="E31" s="19">
        <v>15</v>
      </c>
      <c r="F31" s="19"/>
      <c r="G31" s="19">
        <v>100</v>
      </c>
      <c r="H31" s="19">
        <v>4</v>
      </c>
      <c r="I31" s="19">
        <v>4</v>
      </c>
      <c r="J31" s="19">
        <v>180</v>
      </c>
      <c r="K31" s="19">
        <f t="shared" si="18"/>
        <v>4.4999999999999998E-2</v>
      </c>
      <c r="L31" s="19">
        <v>0.77</v>
      </c>
      <c r="M31" s="19">
        <f t="shared" si="19"/>
        <v>3.08</v>
      </c>
      <c r="N31" s="19">
        <v>7.03</v>
      </c>
      <c r="O31" s="19">
        <v>2.48</v>
      </c>
      <c r="P31" s="19">
        <v>1.49</v>
      </c>
      <c r="Q31" s="19">
        <f t="shared" si="20"/>
        <v>1664429.5302013422</v>
      </c>
      <c r="R31" s="19"/>
      <c r="S31" s="19">
        <f t="shared" si="21"/>
        <v>3.6951999999999998</v>
      </c>
      <c r="T31" s="19">
        <v>61.7</v>
      </c>
      <c r="U31" s="19">
        <f t="shared" si="22"/>
        <v>0.47408820904711624</v>
      </c>
      <c r="V31" s="19">
        <f t="shared" si="23"/>
        <v>1.7536266817987214</v>
      </c>
      <c r="W31" s="19">
        <f t="shared" si="24"/>
        <v>0.43064068772768782</v>
      </c>
      <c r="X31" s="19">
        <v>1.7549999999999999</v>
      </c>
      <c r="Y31" s="19">
        <v>0.47499999999999998</v>
      </c>
      <c r="Z31" s="19">
        <f t="shared" si="25"/>
        <v>-7.8251749360598644E-2</v>
      </c>
      <c r="AA31" s="19">
        <f t="shared" si="26"/>
        <v>9.3275711549636667E-2</v>
      </c>
      <c r="AB31" s="19"/>
      <c r="AC31" s="19">
        <v>2204</v>
      </c>
      <c r="AD31" s="19">
        <v>177</v>
      </c>
      <c r="AE31" s="19">
        <v>91</v>
      </c>
      <c r="AF31" s="19">
        <v>33</v>
      </c>
      <c r="AG31" s="19">
        <v>28</v>
      </c>
      <c r="AH31" s="19">
        <v>19</v>
      </c>
      <c r="AI31" s="19">
        <v>15</v>
      </c>
      <c r="AJ31" s="19">
        <v>9</v>
      </c>
      <c r="AK31" s="19">
        <v>8</v>
      </c>
      <c r="AL31" s="19">
        <v>7</v>
      </c>
      <c r="AM31" s="19">
        <v>39</v>
      </c>
      <c r="AN31" s="19"/>
      <c r="AO31" s="19"/>
      <c r="AP31" s="19"/>
      <c r="AQ31" s="19"/>
      <c r="AR31" s="19"/>
    </row>
    <row r="32" spans="1:44" x14ac:dyDescent="0.3">
      <c r="A32" s="19" t="s">
        <v>156</v>
      </c>
      <c r="B32" s="19">
        <v>5</v>
      </c>
      <c r="C32" s="19" t="s">
        <v>53</v>
      </c>
      <c r="D32" s="19"/>
      <c r="E32" s="19">
        <v>15</v>
      </c>
      <c r="F32" s="19"/>
      <c r="G32" s="19">
        <v>100</v>
      </c>
      <c r="H32" s="19">
        <v>5</v>
      </c>
      <c r="I32" s="19">
        <v>5</v>
      </c>
      <c r="J32" s="19">
        <v>260</v>
      </c>
      <c r="K32" s="19">
        <f t="shared" si="18"/>
        <v>5.2000000000000005E-2</v>
      </c>
      <c r="L32" s="19">
        <v>0.96</v>
      </c>
      <c r="M32" s="19">
        <f t="shared" si="19"/>
        <v>4.8</v>
      </c>
      <c r="N32" s="19">
        <v>9.16</v>
      </c>
      <c r="O32" s="19">
        <v>3.2250000000000001</v>
      </c>
      <c r="P32" s="19">
        <v>1.93</v>
      </c>
      <c r="Q32" s="19">
        <f t="shared" si="20"/>
        <v>1670984.4559585492</v>
      </c>
      <c r="R32" s="19"/>
      <c r="S32" s="19">
        <f t="shared" si="21"/>
        <v>6.2242499999999996</v>
      </c>
      <c r="T32" s="19">
        <v>62.5</v>
      </c>
      <c r="U32" s="19">
        <f t="shared" si="22"/>
        <v>0.46174861323503408</v>
      </c>
      <c r="V32" s="19">
        <f t="shared" si="23"/>
        <v>2.8770914927429656</v>
      </c>
      <c r="W32" s="19">
        <f t="shared" si="24"/>
        <v>0.40060593901188213</v>
      </c>
      <c r="X32" s="19">
        <v>2.9020000000000001</v>
      </c>
      <c r="Y32" s="19">
        <v>0.46600000000000003</v>
      </c>
      <c r="Z32" s="19">
        <f t="shared" si="25"/>
        <v>-0.85832209707217533</v>
      </c>
      <c r="AA32" s="19">
        <f t="shared" si="26"/>
        <v>6.3750984305007571E-2</v>
      </c>
      <c r="AB32" s="19"/>
      <c r="AC32" s="19">
        <v>3212</v>
      </c>
      <c r="AD32" s="19">
        <v>179</v>
      </c>
      <c r="AE32" s="19">
        <v>81</v>
      </c>
      <c r="AF32" s="19">
        <v>35</v>
      </c>
      <c r="AG32" s="19">
        <v>31</v>
      </c>
      <c r="AH32" s="19">
        <v>25</v>
      </c>
      <c r="AI32" s="19">
        <v>14</v>
      </c>
      <c r="AJ32" s="19">
        <v>11</v>
      </c>
      <c r="AK32" s="19">
        <v>10</v>
      </c>
      <c r="AL32" s="19">
        <v>10</v>
      </c>
      <c r="AM32" s="19">
        <v>46</v>
      </c>
      <c r="AN32" s="19"/>
      <c r="AO32" s="19"/>
      <c r="AP32" s="19"/>
      <c r="AQ32" s="19"/>
      <c r="AR32" s="19"/>
    </row>
    <row r="33" spans="1:44" x14ac:dyDescent="0.3">
      <c r="A33" s="19" t="s">
        <v>156</v>
      </c>
      <c r="B33" s="19">
        <v>6</v>
      </c>
      <c r="C33" s="19" t="s">
        <v>53</v>
      </c>
      <c r="D33" s="19"/>
      <c r="E33" s="19">
        <v>15</v>
      </c>
      <c r="F33" s="19"/>
      <c r="G33" s="19">
        <v>100</v>
      </c>
      <c r="H33" s="19">
        <v>6</v>
      </c>
      <c r="I33" s="19">
        <v>6</v>
      </c>
      <c r="J33" s="19">
        <v>360</v>
      </c>
      <c r="K33" s="19">
        <f t="shared" si="18"/>
        <v>0.06</v>
      </c>
      <c r="L33" s="19">
        <v>1.06</v>
      </c>
      <c r="M33" s="19">
        <f t="shared" si="19"/>
        <v>6.36</v>
      </c>
      <c r="N33" s="19">
        <v>11.29</v>
      </c>
      <c r="O33" s="19">
        <v>4.0010000000000003</v>
      </c>
      <c r="P33" s="19">
        <v>2.36</v>
      </c>
      <c r="Q33" s="19">
        <f t="shared" si="20"/>
        <v>1695338.9830508477</v>
      </c>
      <c r="R33" s="19"/>
      <c r="S33" s="19">
        <f t="shared" si="21"/>
        <v>9.4423600000000008</v>
      </c>
      <c r="T33" s="19">
        <v>60.9</v>
      </c>
      <c r="U33" s="19">
        <f t="shared" si="22"/>
        <v>0.4863353804234905</v>
      </c>
      <c r="V33" s="19">
        <f t="shared" si="23"/>
        <v>4.596598824406815</v>
      </c>
      <c r="W33" s="19">
        <f t="shared" si="24"/>
        <v>0.27726433578509202</v>
      </c>
      <c r="X33" s="19">
        <v>4.8120000000000003</v>
      </c>
      <c r="Y33" s="19">
        <v>0.503</v>
      </c>
      <c r="Z33" s="19">
        <f t="shared" si="25"/>
        <v>-4.4763336573812404</v>
      </c>
      <c r="AA33" s="19">
        <f t="shared" si="26"/>
        <v>4.8302922177814636E-2</v>
      </c>
      <c r="AB33" s="19"/>
      <c r="AC33" s="19">
        <v>4016</v>
      </c>
      <c r="AD33" s="19">
        <v>175</v>
      </c>
      <c r="AE33" s="19">
        <v>55</v>
      </c>
      <c r="AF33" s="19">
        <v>34</v>
      </c>
      <c r="AG33" s="19">
        <v>31</v>
      </c>
      <c r="AH33" s="19">
        <v>29</v>
      </c>
      <c r="AI33" s="19">
        <v>22</v>
      </c>
      <c r="AJ33" s="19">
        <v>15</v>
      </c>
      <c r="AK33" s="19">
        <v>13</v>
      </c>
      <c r="AL33" s="19">
        <v>12</v>
      </c>
      <c r="AM33" s="19">
        <v>55</v>
      </c>
      <c r="AN33" s="19"/>
      <c r="AO33" s="19"/>
      <c r="AP33" s="19"/>
      <c r="AQ33" s="19"/>
      <c r="AR33" s="19"/>
    </row>
    <row r="34" spans="1:44" x14ac:dyDescent="0.3">
      <c r="A34" s="19" t="s">
        <v>156</v>
      </c>
      <c r="B34" s="19">
        <v>7</v>
      </c>
      <c r="C34" s="19" t="s">
        <v>53</v>
      </c>
      <c r="D34" s="19"/>
      <c r="E34" s="19">
        <v>15</v>
      </c>
      <c r="F34" s="19"/>
      <c r="G34" s="19">
        <v>100</v>
      </c>
      <c r="H34" s="19">
        <v>7</v>
      </c>
      <c r="I34" s="19">
        <v>7</v>
      </c>
      <c r="J34" s="19">
        <v>580</v>
      </c>
      <c r="K34" s="19">
        <f t="shared" si="18"/>
        <v>8.2857142857142851E-2</v>
      </c>
      <c r="L34" s="19">
        <v>1.07</v>
      </c>
      <c r="M34" s="19">
        <f t="shared" si="19"/>
        <v>7.49</v>
      </c>
      <c r="N34" s="19">
        <v>13.67</v>
      </c>
      <c r="O34" s="19">
        <v>4.806</v>
      </c>
      <c r="P34" s="19">
        <v>2.85</v>
      </c>
      <c r="Q34" s="19">
        <f t="shared" si="20"/>
        <v>1686315.7894736843</v>
      </c>
      <c r="R34" s="19"/>
      <c r="S34" s="19">
        <f t="shared" si="21"/>
        <v>13.697100000000001</v>
      </c>
      <c r="T34" s="19">
        <v>60.4</v>
      </c>
      <c r="U34" s="19">
        <f t="shared" si="22"/>
        <v>0.49394186658423106</v>
      </c>
      <c r="V34" s="19">
        <f t="shared" si="23"/>
        <v>6.7719349256364492</v>
      </c>
      <c r="W34" s="19">
        <f t="shared" si="24"/>
        <v>9.5869836363625005E-2</v>
      </c>
      <c r="X34" s="19">
        <v>6.7809999999999997</v>
      </c>
      <c r="Y34" s="19">
        <v>0.497</v>
      </c>
      <c r="Z34" s="19">
        <f t="shared" si="25"/>
        <v>-0.13368344438210486</v>
      </c>
      <c r="AA34" s="19">
        <f t="shared" si="26"/>
        <v>6.1465674184563841E-2</v>
      </c>
      <c r="AB34" s="19"/>
      <c r="AC34" s="19">
        <v>4764</v>
      </c>
      <c r="AD34" s="19">
        <v>181</v>
      </c>
      <c r="AE34" s="19">
        <v>181</v>
      </c>
      <c r="AF34" s="19">
        <v>92</v>
      </c>
      <c r="AG34" s="19">
        <v>86</v>
      </c>
      <c r="AH34" s="19">
        <v>45</v>
      </c>
      <c r="AI34" s="19">
        <v>32</v>
      </c>
      <c r="AJ34" s="19">
        <v>25</v>
      </c>
      <c r="AK34" s="19">
        <v>20</v>
      </c>
      <c r="AL34" s="19">
        <v>17</v>
      </c>
      <c r="AM34" s="19">
        <v>64</v>
      </c>
      <c r="AN34" s="19"/>
      <c r="AO34" s="19"/>
      <c r="AP34" s="19"/>
      <c r="AQ34" s="19"/>
      <c r="AR34" s="19"/>
    </row>
    <row r="35" spans="1:44" x14ac:dyDescent="0.3">
      <c r="A35" s="19" t="s">
        <v>156</v>
      </c>
      <c r="B35" s="19">
        <v>8</v>
      </c>
      <c r="C35" s="19" t="s">
        <v>53</v>
      </c>
      <c r="D35" s="19"/>
      <c r="E35" s="19">
        <v>15</v>
      </c>
      <c r="F35" s="19"/>
      <c r="G35" s="19">
        <v>100</v>
      </c>
      <c r="H35" s="19">
        <v>8</v>
      </c>
      <c r="I35" s="19">
        <v>8</v>
      </c>
      <c r="J35" s="19">
        <v>740</v>
      </c>
      <c r="K35" s="19">
        <f t="shared" si="18"/>
        <v>9.2499999999999999E-2</v>
      </c>
      <c r="L35" s="19">
        <v>1.1299999999999999</v>
      </c>
      <c r="M35" s="19">
        <f t="shared" si="19"/>
        <v>9.0399999999999991</v>
      </c>
      <c r="N35" s="19">
        <v>15.79</v>
      </c>
      <c r="O35" s="19">
        <v>5.5819999999999999</v>
      </c>
      <c r="P35" s="19">
        <v>3.3730000000000002</v>
      </c>
      <c r="Q35" s="19">
        <f t="shared" si="20"/>
        <v>1654906.6113252298</v>
      </c>
      <c r="R35" s="19"/>
      <c r="S35" s="19">
        <f t="shared" si="21"/>
        <v>18.828085999999999</v>
      </c>
      <c r="T35" s="19">
        <v>61.2</v>
      </c>
      <c r="U35" s="19">
        <f t="shared" si="22"/>
        <v>0.48175367410171516</v>
      </c>
      <c r="V35" s="19">
        <f t="shared" si="23"/>
        <v>9.0794326177911167</v>
      </c>
      <c r="W35" s="19">
        <f t="shared" si="24"/>
        <v>-4.3620152423802239E-3</v>
      </c>
      <c r="X35" s="19">
        <v>9.0890000000000004</v>
      </c>
      <c r="Y35" s="19">
        <v>0.48</v>
      </c>
      <c r="Z35" s="19">
        <f t="shared" si="25"/>
        <v>-0.10526330959273579</v>
      </c>
      <c r="AA35" s="19">
        <f t="shared" si="26"/>
        <v>9.9635066428941044E-2</v>
      </c>
      <c r="AB35" s="19"/>
      <c r="AC35" s="19">
        <v>5523</v>
      </c>
      <c r="AD35" s="19">
        <v>437</v>
      </c>
      <c r="AE35" s="19">
        <v>225</v>
      </c>
      <c r="AF35" s="19">
        <v>195</v>
      </c>
      <c r="AG35" s="19">
        <v>126</v>
      </c>
      <c r="AH35" s="19">
        <v>62</v>
      </c>
      <c r="AI35" s="19">
        <v>40</v>
      </c>
      <c r="AJ35" s="19">
        <v>28</v>
      </c>
      <c r="AK35" s="19">
        <v>27</v>
      </c>
      <c r="AL35" s="19">
        <v>19</v>
      </c>
      <c r="AM35" s="19">
        <v>75</v>
      </c>
      <c r="AN35" s="19"/>
      <c r="AO35" s="19"/>
      <c r="AP35" s="19"/>
      <c r="AQ35" s="19"/>
      <c r="AR35" s="19"/>
    </row>
    <row r="36" spans="1:44" x14ac:dyDescent="0.3">
      <c r="A36" s="19" t="s">
        <v>156</v>
      </c>
      <c r="B36" s="19">
        <v>9</v>
      </c>
      <c r="C36" s="19" t="s">
        <v>53</v>
      </c>
      <c r="D36" s="19"/>
      <c r="E36" s="19">
        <v>15</v>
      </c>
      <c r="F36" s="19"/>
      <c r="G36" s="19">
        <v>100</v>
      </c>
      <c r="H36" s="19">
        <v>9</v>
      </c>
      <c r="I36" s="19">
        <v>9</v>
      </c>
      <c r="J36" s="19">
        <v>900</v>
      </c>
      <c r="K36" s="19">
        <f t="shared" si="18"/>
        <v>0.1</v>
      </c>
      <c r="L36" s="19">
        <v>1.28</v>
      </c>
      <c r="M36" s="19">
        <f t="shared" si="19"/>
        <v>11.52</v>
      </c>
      <c r="N36" s="19">
        <v>18.09</v>
      </c>
      <c r="O36" s="19">
        <v>5.73</v>
      </c>
      <c r="P36" s="19">
        <v>3.5</v>
      </c>
      <c r="Q36" s="19">
        <f t="shared" si="20"/>
        <v>1637142.857142857</v>
      </c>
      <c r="R36" s="19"/>
      <c r="S36" s="19">
        <f t="shared" si="21"/>
        <v>20.055</v>
      </c>
      <c r="T36" s="19">
        <v>61.5</v>
      </c>
      <c r="U36" s="19">
        <f t="shared" si="22"/>
        <v>0.47715876025960841</v>
      </c>
      <c r="V36" s="19">
        <f t="shared" si="23"/>
        <v>9.5790081049290752</v>
      </c>
      <c r="W36" s="19">
        <f t="shared" si="24"/>
        <v>0.16848887978046223</v>
      </c>
      <c r="X36" s="19">
        <v>10.09</v>
      </c>
      <c r="Y36" s="19">
        <v>0.47499999999999998</v>
      </c>
      <c r="Z36" s="19">
        <f t="shared" si="25"/>
        <v>-5.0643398916840905</v>
      </c>
      <c r="AA36" s="19">
        <f t="shared" si="26"/>
        <v>0.12882832398753483</v>
      </c>
      <c r="AB36" s="19"/>
      <c r="AC36" s="19">
        <v>6303</v>
      </c>
      <c r="AD36" s="19">
        <v>655</v>
      </c>
      <c r="AE36" s="19">
        <v>384</v>
      </c>
      <c r="AF36" s="19">
        <v>215</v>
      </c>
      <c r="AG36" s="19">
        <v>158</v>
      </c>
      <c r="AH36" s="19">
        <v>80</v>
      </c>
      <c r="AI36" s="19">
        <v>47</v>
      </c>
      <c r="AJ36" s="19">
        <v>38</v>
      </c>
      <c r="AK36" s="19">
        <v>30</v>
      </c>
      <c r="AL36" s="19">
        <v>27</v>
      </c>
      <c r="AM36" s="19">
        <v>85</v>
      </c>
      <c r="AN36" s="19"/>
      <c r="AO36" s="19"/>
      <c r="AP36" s="19"/>
      <c r="AQ36" s="19"/>
      <c r="AR36" s="19"/>
    </row>
    <row r="37" spans="1:44" x14ac:dyDescent="0.3">
      <c r="A37" s="19" t="s">
        <v>156</v>
      </c>
      <c r="B37" s="19">
        <v>10</v>
      </c>
      <c r="C37" s="19" t="s">
        <v>53</v>
      </c>
      <c r="D37" s="19"/>
      <c r="E37" s="19">
        <v>15</v>
      </c>
      <c r="F37" s="19"/>
      <c r="G37" s="19">
        <v>100</v>
      </c>
      <c r="H37" s="19">
        <v>10</v>
      </c>
      <c r="I37" s="19">
        <v>10</v>
      </c>
      <c r="J37" s="19">
        <v>1421</v>
      </c>
      <c r="K37" s="19">
        <f t="shared" si="18"/>
        <v>0.1421</v>
      </c>
      <c r="L37" s="19">
        <v>1.38</v>
      </c>
      <c r="M37" s="19">
        <f t="shared" si="19"/>
        <v>13.799999999999999</v>
      </c>
      <c r="N37" s="19">
        <v>20.57</v>
      </c>
      <c r="O37" s="19">
        <v>7.18</v>
      </c>
      <c r="P37" s="19">
        <v>4.6100000000000003</v>
      </c>
      <c r="Q37" s="19">
        <f t="shared" si="20"/>
        <v>1557483.7310195225</v>
      </c>
      <c r="R37" s="19"/>
      <c r="S37" s="19">
        <f t="shared" si="21"/>
        <v>33.099800000000002</v>
      </c>
      <c r="T37" s="19">
        <v>63.53</v>
      </c>
      <c r="U37" s="19">
        <f t="shared" si="22"/>
        <v>0.4457291654314135</v>
      </c>
      <c r="V37" s="19">
        <f t="shared" si="23"/>
        <v>14.77019939259969</v>
      </c>
      <c r="W37" s="19">
        <f t="shared" si="24"/>
        <v>-7.0304303811571822E-2</v>
      </c>
      <c r="X37" s="19">
        <v>14.78</v>
      </c>
      <c r="Y37" s="19">
        <v>0.44400000000000001</v>
      </c>
      <c r="Z37" s="19">
        <f t="shared" si="25"/>
        <v>-6.6309928283557903E-2</v>
      </c>
      <c r="AA37" s="19">
        <f t="shared" si="26"/>
        <v>0.17116144653144805</v>
      </c>
      <c r="AB37" s="19"/>
      <c r="AC37" s="19">
        <v>7044</v>
      </c>
      <c r="AD37" s="19">
        <v>906</v>
      </c>
      <c r="AE37" s="19">
        <v>550</v>
      </c>
      <c r="AF37" s="19">
        <v>523</v>
      </c>
      <c r="AG37" s="19">
        <v>195</v>
      </c>
      <c r="AH37" s="19">
        <v>90</v>
      </c>
      <c r="AI37" s="19">
        <v>60</v>
      </c>
      <c r="AJ37" s="19">
        <v>52</v>
      </c>
      <c r="AK37" s="19">
        <v>47</v>
      </c>
      <c r="AL37" s="19">
        <v>46</v>
      </c>
      <c r="AM37" s="19">
        <v>94</v>
      </c>
      <c r="AN37" s="19"/>
      <c r="AO37" s="19"/>
      <c r="AP37" s="19"/>
      <c r="AQ37" s="19"/>
      <c r="AR37" s="19"/>
    </row>
    <row r="38" spans="1:44" ht="18" customHeight="1" x14ac:dyDescent="0.3">
      <c r="A38" s="59" t="s">
        <v>157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</row>
    <row r="39" spans="1:44" x14ac:dyDescent="0.3">
      <c r="A39" s="19" t="s">
        <v>158</v>
      </c>
      <c r="B39" s="19">
        <v>1</v>
      </c>
      <c r="C39" s="19" t="s">
        <v>53</v>
      </c>
      <c r="D39" s="19"/>
      <c r="E39" s="19">
        <v>5</v>
      </c>
      <c r="F39" s="19"/>
      <c r="G39" s="19">
        <v>100</v>
      </c>
      <c r="H39" s="19">
        <v>2</v>
      </c>
      <c r="I39" s="19">
        <v>1.9950000000000001</v>
      </c>
      <c r="J39" s="19">
        <v>85</v>
      </c>
      <c r="K39" s="19">
        <f t="shared" ref="K39:K48" si="27">IF(COUNT(J39,I39)=0,"",IFERROR(J39/1000/I39,""))</f>
        <v>4.2606516290726815E-2</v>
      </c>
      <c r="L39" s="19">
        <v>0.47</v>
      </c>
      <c r="M39" s="19">
        <f t="shared" ref="M39:M48" si="28">IF(COUNT(H39,L39)=0,"",IFERROR(H39*L39,""))</f>
        <v>0.94</v>
      </c>
      <c r="N39" s="19">
        <v>3.43</v>
      </c>
      <c r="O39" s="19">
        <v>1</v>
      </c>
      <c r="P39" s="19">
        <v>0.34499999999999997</v>
      </c>
      <c r="Q39" s="19">
        <f t="shared" ref="Q39:Q48" si="29">IF(COUNT(O39,P39)=0,"",IFERROR(O39*1000/P39*1000,""))</f>
        <v>2898550.7246376816</v>
      </c>
      <c r="R39" s="19"/>
      <c r="S39" s="19">
        <f t="shared" ref="S39:S48" si="30">IF(COUNT(O39,P39)=0,"",IFERROR(O39*P39,""))</f>
        <v>0.34499999999999997</v>
      </c>
      <c r="T39" s="19">
        <v>74</v>
      </c>
      <c r="U39" s="19">
        <f t="shared" ref="U39:U48" si="31">IF(COUNT(T39)=0,"",IFERROR(COS(T39/180*PI()),""))</f>
        <v>0.27563735581699916</v>
      </c>
      <c r="V39" s="19">
        <f t="shared" ref="V39:V48" si="32">IF(COUNT(S39,T39)=0,"",IFERROR(S39*COS(T39/360*2*3.14),""))</f>
        <v>9.5312008076411853E-2</v>
      </c>
      <c r="W39" s="19">
        <f t="shared" ref="W39:W48" si="33">IF(COUNT(V39,M39)=0,"",IFERROR(1-V39/M39,""))</f>
        <v>0.89860424672722139</v>
      </c>
      <c r="X39" s="19"/>
      <c r="Y39" s="19"/>
      <c r="Z39" s="19" t="str">
        <f t="shared" ref="Z39:Z48" si="34">IFERROR(IF(OR(V39="",X39="",X39=0),"",(V39-X39)/X39*100),"")</f>
        <v/>
      </c>
      <c r="AA39" s="19">
        <f t="shared" ref="AA39:AA48" si="35">IF(COUNT(AD39,AE39,AF39,AG39,AH39,AI39,AJ39,AK39,AL39,AC39)=0,"",IFERROR(SQRT(AD39^2+AE39^2+AF39^2+AG39^2+AH39^2+AI39^2+AJ39^2+AK39^2+AL39^2)/AC39,""))</f>
        <v>0.19928943749193886</v>
      </c>
      <c r="AB39" s="19" t="s">
        <v>159</v>
      </c>
      <c r="AC39" s="19">
        <v>891</v>
      </c>
      <c r="AD39" s="19">
        <v>76</v>
      </c>
      <c r="AE39" s="19">
        <v>121</v>
      </c>
      <c r="AF39" s="19">
        <v>66</v>
      </c>
      <c r="AG39" s="19">
        <v>55</v>
      </c>
      <c r="AH39" s="19">
        <v>49</v>
      </c>
      <c r="AI39" s="19">
        <v>29</v>
      </c>
      <c r="AJ39" s="19">
        <v>15</v>
      </c>
      <c r="AK39" s="19">
        <v>12</v>
      </c>
      <c r="AL39" s="19">
        <v>11</v>
      </c>
      <c r="AM39" s="19">
        <v>26</v>
      </c>
      <c r="AN39" s="19" t="s">
        <v>160</v>
      </c>
      <c r="AO39" s="19"/>
      <c r="AP39" s="19"/>
      <c r="AQ39" s="19" t="s">
        <v>54</v>
      </c>
      <c r="AR39" s="19"/>
    </row>
    <row r="40" spans="1:44" x14ac:dyDescent="0.3">
      <c r="A40" s="19" t="s">
        <v>158</v>
      </c>
      <c r="B40" s="19">
        <v>2</v>
      </c>
      <c r="C40" s="19" t="s">
        <v>53</v>
      </c>
      <c r="D40" s="19"/>
      <c r="E40" s="19">
        <v>7.5</v>
      </c>
      <c r="F40" s="19"/>
      <c r="G40" s="19">
        <v>100</v>
      </c>
      <c r="H40" s="19">
        <v>2</v>
      </c>
      <c r="I40" s="19">
        <v>1.97</v>
      </c>
      <c r="J40" s="19">
        <v>294</v>
      </c>
      <c r="K40" s="19">
        <f t="shared" si="27"/>
        <v>0.14923857868020304</v>
      </c>
      <c r="L40" s="19">
        <v>0.17</v>
      </c>
      <c r="M40" s="19">
        <f t="shared" si="28"/>
        <v>0.34</v>
      </c>
      <c r="N40" s="19">
        <v>4.13</v>
      </c>
      <c r="O40" s="19">
        <v>1.29</v>
      </c>
      <c r="P40" s="19">
        <v>0.60099999999999998</v>
      </c>
      <c r="Q40" s="19">
        <f t="shared" si="29"/>
        <v>2146422.6289517474</v>
      </c>
      <c r="R40" s="19"/>
      <c r="S40" s="19">
        <f t="shared" si="30"/>
        <v>0.77529000000000003</v>
      </c>
      <c r="T40" s="19">
        <v>83</v>
      </c>
      <c r="U40" s="19">
        <f t="shared" si="31"/>
        <v>0.12186934340514749</v>
      </c>
      <c r="V40" s="19">
        <f t="shared" si="32"/>
        <v>9.5049179184841709E-2</v>
      </c>
      <c r="W40" s="19">
        <f t="shared" si="33"/>
        <v>0.7204435906328186</v>
      </c>
      <c r="X40" s="19"/>
      <c r="Y40" s="19"/>
      <c r="Z40" s="19" t="str">
        <f t="shared" si="34"/>
        <v/>
      </c>
      <c r="AA40" s="19">
        <f t="shared" si="35"/>
        <v>0.30625124412319887</v>
      </c>
      <c r="AB40" s="19" t="s">
        <v>151</v>
      </c>
      <c r="AC40" s="19">
        <v>1212</v>
      </c>
      <c r="AD40" s="19">
        <v>339</v>
      </c>
      <c r="AE40" s="19">
        <v>125</v>
      </c>
      <c r="AF40" s="19">
        <v>78</v>
      </c>
      <c r="AG40" s="19">
        <v>22</v>
      </c>
      <c r="AH40" s="19">
        <v>18</v>
      </c>
      <c r="AI40" s="19">
        <v>11</v>
      </c>
      <c r="AJ40" s="19">
        <v>10</v>
      </c>
      <c r="AK40" s="19">
        <v>8</v>
      </c>
      <c r="AL40" s="19">
        <v>7</v>
      </c>
      <c r="AM40" s="19">
        <v>26</v>
      </c>
      <c r="AN40" s="19" t="s">
        <v>55</v>
      </c>
      <c r="AO40" s="19"/>
      <c r="AP40" s="19"/>
      <c r="AQ40" s="19" t="s">
        <v>56</v>
      </c>
      <c r="AR40" s="19"/>
    </row>
    <row r="41" spans="1:44" x14ac:dyDescent="0.3">
      <c r="A41" s="19" t="s">
        <v>158</v>
      </c>
      <c r="B41" s="19">
        <v>3</v>
      </c>
      <c r="C41" s="19" t="s">
        <v>53</v>
      </c>
      <c r="D41" s="19"/>
      <c r="E41" s="19">
        <v>10</v>
      </c>
      <c r="F41" s="19"/>
      <c r="G41" s="19">
        <v>100</v>
      </c>
      <c r="H41" s="19">
        <v>2</v>
      </c>
      <c r="I41" s="19">
        <v>1.998</v>
      </c>
      <c r="J41" s="19">
        <v>141</v>
      </c>
      <c r="K41" s="19">
        <f t="shared" si="27"/>
        <v>7.0570570570570562E-2</v>
      </c>
      <c r="L41" s="19">
        <v>0.17</v>
      </c>
      <c r="M41" s="19">
        <f t="shared" si="28"/>
        <v>0.34</v>
      </c>
      <c r="N41" s="19">
        <v>3.8</v>
      </c>
      <c r="O41" s="19">
        <v>1.31</v>
      </c>
      <c r="P41" s="19">
        <v>0.65200000000000002</v>
      </c>
      <c r="Q41" s="19">
        <f t="shared" si="29"/>
        <v>2009202.45398773</v>
      </c>
      <c r="R41" s="19"/>
      <c r="S41" s="19">
        <f t="shared" si="30"/>
        <v>0.8541200000000001</v>
      </c>
      <c r="T41" s="19">
        <v>70.8</v>
      </c>
      <c r="U41" s="19">
        <f t="shared" si="31"/>
        <v>0.32886664673858329</v>
      </c>
      <c r="V41" s="19">
        <f t="shared" si="32"/>
        <v>0.28139682142025157</v>
      </c>
      <c r="W41" s="19">
        <f t="shared" si="33"/>
        <v>0.17236228994043656</v>
      </c>
      <c r="X41" s="19"/>
      <c r="Y41" s="19"/>
      <c r="Z41" s="19" t="str">
        <f t="shared" si="34"/>
        <v/>
      </c>
      <c r="AA41" s="19">
        <f t="shared" si="35"/>
        <v>0.18183140653602295</v>
      </c>
      <c r="AB41" s="19" t="s">
        <v>151</v>
      </c>
      <c r="AC41" s="19">
        <v>1273</v>
      </c>
      <c r="AD41" s="19">
        <v>217</v>
      </c>
      <c r="AE41" s="19">
        <v>55</v>
      </c>
      <c r="AF41" s="19">
        <v>42</v>
      </c>
      <c r="AG41" s="19">
        <v>34</v>
      </c>
      <c r="AH41" s="19">
        <v>16</v>
      </c>
      <c r="AI41" s="19">
        <v>10</v>
      </c>
      <c r="AJ41" s="19">
        <v>10</v>
      </c>
      <c r="AK41" s="19">
        <v>8</v>
      </c>
      <c r="AL41" s="19">
        <v>5</v>
      </c>
      <c r="AM41" s="19">
        <v>26</v>
      </c>
      <c r="AN41" s="19" t="s">
        <v>55</v>
      </c>
      <c r="AO41" s="19"/>
      <c r="AP41" s="19"/>
      <c r="AQ41" s="19" t="s">
        <v>57</v>
      </c>
      <c r="AR41" s="19"/>
    </row>
    <row r="42" spans="1:44" x14ac:dyDescent="0.3">
      <c r="A42" s="19" t="s">
        <v>158</v>
      </c>
      <c r="B42" s="19">
        <v>4</v>
      </c>
      <c r="C42" s="19" t="s">
        <v>53</v>
      </c>
      <c r="D42" s="19"/>
      <c r="E42" s="19">
        <v>12.5</v>
      </c>
      <c r="F42" s="19"/>
      <c r="G42" s="19">
        <v>100</v>
      </c>
      <c r="H42" s="19">
        <v>2</v>
      </c>
      <c r="I42" s="19">
        <v>1.96</v>
      </c>
      <c r="J42" s="19">
        <v>92</v>
      </c>
      <c r="K42" s="19">
        <f t="shared" si="27"/>
        <v>4.6938775510204082E-2</v>
      </c>
      <c r="L42" s="19">
        <v>0.28999999999999998</v>
      </c>
      <c r="M42" s="19">
        <f t="shared" si="28"/>
        <v>0.57999999999999996</v>
      </c>
      <c r="N42" s="19">
        <v>3.64</v>
      </c>
      <c r="O42" s="19">
        <v>1.29</v>
      </c>
      <c r="P42" s="19">
        <v>0.72499999999999998</v>
      </c>
      <c r="Q42" s="19">
        <f t="shared" si="29"/>
        <v>1779310.3448275863</v>
      </c>
      <c r="R42" s="19"/>
      <c r="S42" s="19">
        <f t="shared" si="30"/>
        <v>0.93525000000000003</v>
      </c>
      <c r="T42" s="19">
        <v>65</v>
      </c>
      <c r="U42" s="19">
        <f t="shared" si="31"/>
        <v>0.42261826174069944</v>
      </c>
      <c r="V42" s="19">
        <f t="shared" si="32"/>
        <v>0.39574115377766966</v>
      </c>
      <c r="W42" s="19">
        <f t="shared" si="33"/>
        <v>0.31768766590056952</v>
      </c>
      <c r="X42" s="19"/>
      <c r="Y42" s="19"/>
      <c r="Z42" s="19" t="str">
        <f t="shared" si="34"/>
        <v/>
      </c>
      <c r="AA42" s="19">
        <f t="shared" si="35"/>
        <v>7.6820355900817455E-2</v>
      </c>
      <c r="AB42" s="19" t="s">
        <v>161</v>
      </c>
      <c r="AC42" s="19">
        <v>1221</v>
      </c>
      <c r="AD42" s="19">
        <v>76</v>
      </c>
      <c r="AE42" s="19">
        <v>39</v>
      </c>
      <c r="AF42" s="19">
        <v>28</v>
      </c>
      <c r="AG42" s="19">
        <v>22</v>
      </c>
      <c r="AH42" s="19">
        <v>12</v>
      </c>
      <c r="AI42" s="19">
        <v>8</v>
      </c>
      <c r="AJ42" s="19">
        <v>5</v>
      </c>
      <c r="AK42" s="19"/>
      <c r="AL42" s="19"/>
      <c r="AM42" s="19">
        <v>25</v>
      </c>
      <c r="AN42" s="19" t="s">
        <v>55</v>
      </c>
      <c r="AO42" s="19"/>
      <c r="AP42" s="19"/>
      <c r="AQ42" s="19" t="s">
        <v>58</v>
      </c>
      <c r="AR42" s="19"/>
    </row>
    <row r="43" spans="1:44" x14ac:dyDescent="0.3">
      <c r="A43" s="19" t="s">
        <v>158</v>
      </c>
      <c r="B43" s="19">
        <v>5</v>
      </c>
      <c r="C43" s="19" t="s">
        <v>53</v>
      </c>
      <c r="D43" s="19"/>
      <c r="E43" s="19">
        <v>15</v>
      </c>
      <c r="F43" s="19"/>
      <c r="G43" s="19">
        <v>100</v>
      </c>
      <c r="H43" s="19">
        <v>2</v>
      </c>
      <c r="I43" s="19">
        <v>1.99</v>
      </c>
      <c r="J43" s="19">
        <v>117</v>
      </c>
      <c r="K43" s="19">
        <f t="shared" si="27"/>
        <v>5.8793969849246237E-2</v>
      </c>
      <c r="L43" s="19">
        <v>0.51</v>
      </c>
      <c r="M43" s="19">
        <f t="shared" si="28"/>
        <v>1.02</v>
      </c>
      <c r="N43" s="19">
        <v>3.48</v>
      </c>
      <c r="O43" s="19">
        <v>1.67</v>
      </c>
      <c r="P43" s="19">
        <v>0.90200000000000002</v>
      </c>
      <c r="Q43" s="19">
        <f t="shared" si="29"/>
        <v>1851441.2416851441</v>
      </c>
      <c r="R43" s="19"/>
      <c r="S43" s="19">
        <f t="shared" si="30"/>
        <v>1.50634</v>
      </c>
      <c r="T43" s="19">
        <v>68.2</v>
      </c>
      <c r="U43" s="19">
        <f t="shared" si="31"/>
        <v>0.37136783555023495</v>
      </c>
      <c r="V43" s="19">
        <f t="shared" si="32"/>
        <v>0.5602501021923123</v>
      </c>
      <c r="W43" s="19">
        <f t="shared" si="33"/>
        <v>0.45073519392910555</v>
      </c>
      <c r="X43" s="19"/>
      <c r="Y43" s="19"/>
      <c r="Z43" s="19" t="str">
        <f t="shared" si="34"/>
        <v/>
      </c>
      <c r="AA43" s="19">
        <f t="shared" si="35"/>
        <v>7.0497969971101665E-2</v>
      </c>
      <c r="AB43" s="19" t="s">
        <v>161</v>
      </c>
      <c r="AC43" s="19">
        <v>1096</v>
      </c>
      <c r="AD43" s="19">
        <v>32</v>
      </c>
      <c r="AE43" s="19">
        <v>61</v>
      </c>
      <c r="AF43" s="19">
        <v>22</v>
      </c>
      <c r="AG43" s="19">
        <v>22</v>
      </c>
      <c r="AH43" s="19">
        <v>12</v>
      </c>
      <c r="AI43" s="19">
        <v>8</v>
      </c>
      <c r="AJ43" s="19">
        <v>7</v>
      </c>
      <c r="AK43" s="19"/>
      <c r="AL43" s="19"/>
      <c r="AM43" s="19">
        <v>27</v>
      </c>
      <c r="AN43" s="19" t="s">
        <v>55</v>
      </c>
      <c r="AO43" s="19"/>
      <c r="AP43" s="19"/>
      <c r="AQ43" s="19" t="s">
        <v>59</v>
      </c>
      <c r="AR43" s="19"/>
    </row>
    <row r="44" spans="1:44" x14ac:dyDescent="0.3">
      <c r="A44" s="19" t="s">
        <v>158</v>
      </c>
      <c r="B44" s="19">
        <v>6</v>
      </c>
      <c r="C44" s="19" t="s">
        <v>53</v>
      </c>
      <c r="D44" s="19"/>
      <c r="E44" s="19">
        <v>20</v>
      </c>
      <c r="F44" s="19"/>
      <c r="G44" s="19">
        <v>100</v>
      </c>
      <c r="H44" s="19">
        <v>2</v>
      </c>
      <c r="I44" s="19">
        <v>2</v>
      </c>
      <c r="J44" s="19">
        <v>114</v>
      </c>
      <c r="K44" s="19">
        <f t="shared" si="27"/>
        <v>5.7000000000000002E-2</v>
      </c>
      <c r="L44" s="19">
        <v>0.56000000000000005</v>
      </c>
      <c r="M44" s="19">
        <f t="shared" si="28"/>
        <v>1.1200000000000001</v>
      </c>
      <c r="N44" s="19">
        <v>2.4500000000000002</v>
      </c>
      <c r="O44" s="19">
        <v>0.77600000000000002</v>
      </c>
      <c r="P44" s="19">
        <v>0.93500000000000005</v>
      </c>
      <c r="Q44" s="19">
        <f t="shared" si="29"/>
        <v>829946.52406417101</v>
      </c>
      <c r="R44" s="19"/>
      <c r="S44" s="19">
        <f t="shared" si="30"/>
        <v>0.72556000000000009</v>
      </c>
      <c r="T44" s="19">
        <v>73.87</v>
      </c>
      <c r="U44" s="19">
        <f t="shared" si="31"/>
        <v>0.27781767805443641</v>
      </c>
      <c r="V44" s="19">
        <f t="shared" si="32"/>
        <v>0.20202891406404458</v>
      </c>
      <c r="W44" s="19">
        <f t="shared" si="33"/>
        <v>0.81961704101424593</v>
      </c>
      <c r="X44" s="19"/>
      <c r="Y44" s="19"/>
      <c r="Z44" s="19" t="str">
        <f t="shared" si="34"/>
        <v/>
      </c>
      <c r="AA44" s="19">
        <f t="shared" si="35"/>
        <v>0.12776191125177114</v>
      </c>
      <c r="AB44" s="19" t="s">
        <v>161</v>
      </c>
      <c r="AC44" s="19">
        <v>687</v>
      </c>
      <c r="AD44" s="19">
        <v>61</v>
      </c>
      <c r="AE44" s="19">
        <v>57</v>
      </c>
      <c r="AF44" s="19">
        <v>22</v>
      </c>
      <c r="AG44" s="19">
        <v>13</v>
      </c>
      <c r="AH44" s="19">
        <v>9</v>
      </c>
      <c r="AI44" s="19"/>
      <c r="AJ44" s="19"/>
      <c r="AK44" s="19"/>
      <c r="AL44" s="19"/>
      <c r="AM44" s="19">
        <v>27</v>
      </c>
      <c r="AN44" s="19" t="s">
        <v>55</v>
      </c>
      <c r="AO44" s="19"/>
      <c r="AP44" s="19"/>
      <c r="AQ44" s="19" t="s">
        <v>60</v>
      </c>
      <c r="AR44" s="19"/>
    </row>
    <row r="45" spans="1:44" x14ac:dyDescent="0.3">
      <c r="A45" s="19" t="s">
        <v>158</v>
      </c>
      <c r="B45" s="19">
        <v>7</v>
      </c>
      <c r="C45" s="19" t="s">
        <v>53</v>
      </c>
      <c r="D45" s="19"/>
      <c r="E45" s="19">
        <v>30</v>
      </c>
      <c r="F45" s="19"/>
      <c r="G45" s="19">
        <v>100</v>
      </c>
      <c r="H45" s="19">
        <v>2</v>
      </c>
      <c r="I45" s="19">
        <v>2.0099999999999998</v>
      </c>
      <c r="J45" s="19">
        <v>90</v>
      </c>
      <c r="K45" s="19">
        <f t="shared" si="27"/>
        <v>4.4776119402985079E-2</v>
      </c>
      <c r="L45" s="19">
        <v>0.55000000000000004</v>
      </c>
      <c r="M45" s="19">
        <f t="shared" si="28"/>
        <v>1.1000000000000001</v>
      </c>
      <c r="N45" s="19">
        <v>1.44</v>
      </c>
      <c r="O45" s="19">
        <v>0.45400000000000001</v>
      </c>
      <c r="P45" s="19">
        <v>0.89900000000000002</v>
      </c>
      <c r="Q45" s="19">
        <f t="shared" si="29"/>
        <v>505005.56173526141</v>
      </c>
      <c r="R45" s="19"/>
      <c r="S45" s="19">
        <f t="shared" si="30"/>
        <v>0.40814600000000001</v>
      </c>
      <c r="T45" s="19">
        <v>81.16</v>
      </c>
      <c r="U45" s="19">
        <f t="shared" si="31"/>
        <v>0.1536757125069923</v>
      </c>
      <c r="V45" s="19">
        <f t="shared" si="32"/>
        <v>6.3011723244320819E-2</v>
      </c>
      <c r="W45" s="19">
        <f t="shared" si="33"/>
        <v>0.94271661523243566</v>
      </c>
      <c r="X45" s="19"/>
      <c r="Y45" s="19"/>
      <c r="Z45" s="19" t="str">
        <f t="shared" si="34"/>
        <v/>
      </c>
      <c r="AA45" s="19">
        <f t="shared" si="35"/>
        <v>0.17046470218564139</v>
      </c>
      <c r="AB45" s="19" t="s">
        <v>161</v>
      </c>
      <c r="AC45" s="19">
        <v>428</v>
      </c>
      <c r="AD45" s="19">
        <v>60</v>
      </c>
      <c r="AE45" s="19">
        <v>39</v>
      </c>
      <c r="AF45" s="19">
        <v>11</v>
      </c>
      <c r="AG45" s="19">
        <v>9</v>
      </c>
      <c r="AH45" s="19"/>
      <c r="AI45" s="19"/>
      <c r="AJ45" s="19"/>
      <c r="AK45" s="19"/>
      <c r="AL45" s="19"/>
      <c r="AM45" s="19">
        <v>27</v>
      </c>
      <c r="AN45" s="19" t="s">
        <v>55</v>
      </c>
      <c r="AO45" s="19"/>
      <c r="AP45" s="19"/>
      <c r="AQ45" s="19" t="s">
        <v>61</v>
      </c>
      <c r="AR45" s="19"/>
    </row>
    <row r="46" spans="1:44" x14ac:dyDescent="0.3">
      <c r="A46" s="19" t="s">
        <v>158</v>
      </c>
      <c r="B46" s="19">
        <v>8</v>
      </c>
      <c r="C46" s="19" t="s">
        <v>53</v>
      </c>
      <c r="D46" s="19"/>
      <c r="E46" s="19">
        <v>40</v>
      </c>
      <c r="F46" s="19"/>
      <c r="G46" s="19">
        <v>100</v>
      </c>
      <c r="H46" s="19">
        <v>2</v>
      </c>
      <c r="I46" s="19">
        <v>2.02</v>
      </c>
      <c r="J46" s="19">
        <v>56</v>
      </c>
      <c r="K46" s="19">
        <f t="shared" si="27"/>
        <v>2.7722772277227723E-2</v>
      </c>
      <c r="L46" s="19">
        <v>0.54</v>
      </c>
      <c r="M46" s="19">
        <f t="shared" si="28"/>
        <v>1.08</v>
      </c>
      <c r="N46" s="19">
        <v>1.26</v>
      </c>
      <c r="O46" s="19">
        <v>0.32900000000000001</v>
      </c>
      <c r="P46" s="19">
        <v>0.79900000000000004</v>
      </c>
      <c r="Q46" s="19">
        <f t="shared" si="29"/>
        <v>411764.70588235295</v>
      </c>
      <c r="R46" s="19"/>
      <c r="S46" s="19">
        <f t="shared" si="30"/>
        <v>0.26287100000000002</v>
      </c>
      <c r="T46" s="19">
        <v>85.51</v>
      </c>
      <c r="U46" s="19">
        <f t="shared" si="31"/>
        <v>7.8285099635289554E-2</v>
      </c>
      <c r="V46" s="19">
        <f t="shared" si="32"/>
        <v>2.0777154051496605E-2</v>
      </c>
      <c r="W46" s="19">
        <f t="shared" si="33"/>
        <v>0.98076189439676242</v>
      </c>
      <c r="X46" s="19"/>
      <c r="Y46" s="19"/>
      <c r="Z46" s="19" t="str">
        <f t="shared" si="34"/>
        <v/>
      </c>
      <c r="AA46" s="19">
        <f t="shared" si="35"/>
        <v>0.53596673617380275</v>
      </c>
      <c r="AB46" s="19" t="s">
        <v>162</v>
      </c>
      <c r="AC46" s="19">
        <v>307</v>
      </c>
      <c r="AD46" s="19">
        <v>153</v>
      </c>
      <c r="AE46" s="19">
        <v>55</v>
      </c>
      <c r="AF46" s="19">
        <v>24</v>
      </c>
      <c r="AG46" s="19">
        <v>8</v>
      </c>
      <c r="AH46" s="19"/>
      <c r="AI46" s="19"/>
      <c r="AJ46" s="19"/>
      <c r="AK46" s="19"/>
      <c r="AL46" s="19"/>
      <c r="AM46" s="19">
        <v>27</v>
      </c>
      <c r="AN46" s="19" t="s">
        <v>163</v>
      </c>
      <c r="AO46" s="19"/>
      <c r="AP46" s="19"/>
      <c r="AQ46" s="19" t="s">
        <v>62</v>
      </c>
      <c r="AR46" s="19"/>
    </row>
    <row r="47" spans="1:44" x14ac:dyDescent="0.3">
      <c r="A47" s="19" t="s">
        <v>158</v>
      </c>
      <c r="B47" s="19">
        <v>9</v>
      </c>
      <c r="C47" s="19" t="s">
        <v>53</v>
      </c>
      <c r="D47" s="19"/>
      <c r="E47" s="19">
        <v>50</v>
      </c>
      <c r="F47" s="19"/>
      <c r="G47" s="19">
        <v>100</v>
      </c>
      <c r="H47" s="19">
        <v>2</v>
      </c>
      <c r="I47" s="19">
        <v>2.0099999999999998</v>
      </c>
      <c r="J47" s="19">
        <v>607</v>
      </c>
      <c r="K47" s="19">
        <f t="shared" si="27"/>
        <v>0.30199004975124383</v>
      </c>
      <c r="L47" s="19">
        <v>0.52</v>
      </c>
      <c r="M47" s="19">
        <f t="shared" si="28"/>
        <v>1.04</v>
      </c>
      <c r="N47" s="19">
        <v>0.79900000000000004</v>
      </c>
      <c r="O47" s="19">
        <v>0.247</v>
      </c>
      <c r="P47" s="19">
        <v>0.88400000000000001</v>
      </c>
      <c r="Q47" s="19">
        <f t="shared" si="29"/>
        <v>279411.76470588235</v>
      </c>
      <c r="R47" s="19"/>
      <c r="S47" s="19">
        <f t="shared" si="30"/>
        <v>0.21834799999999999</v>
      </c>
      <c r="T47" s="19">
        <v>89</v>
      </c>
      <c r="U47" s="19">
        <f t="shared" si="31"/>
        <v>1.7452406437283598E-2</v>
      </c>
      <c r="V47" s="19">
        <f t="shared" si="32"/>
        <v>3.9826150569069628E-3</v>
      </c>
      <c r="W47" s="19">
        <f t="shared" si="33"/>
        <v>0.99617056244528179</v>
      </c>
      <c r="X47" s="19"/>
      <c r="Y47" s="19"/>
      <c r="Z47" s="19" t="str">
        <f t="shared" si="34"/>
        <v/>
      </c>
      <c r="AA47" s="19">
        <f t="shared" si="35"/>
        <v>0.1399456645816711</v>
      </c>
      <c r="AB47" s="19" t="s">
        <v>164</v>
      </c>
      <c r="AC47" s="19">
        <v>244</v>
      </c>
      <c r="AD47" s="19">
        <v>24</v>
      </c>
      <c r="AE47" s="19">
        <v>21</v>
      </c>
      <c r="AF47" s="19">
        <v>10</v>
      </c>
      <c r="AG47" s="19">
        <v>7</v>
      </c>
      <c r="AH47" s="19"/>
      <c r="AI47" s="19"/>
      <c r="AJ47" s="19"/>
      <c r="AK47" s="19"/>
      <c r="AL47" s="19"/>
      <c r="AM47" s="19">
        <v>27</v>
      </c>
      <c r="AN47" s="19" t="s">
        <v>160</v>
      </c>
      <c r="AO47" s="19"/>
      <c r="AP47" s="19"/>
      <c r="AQ47" s="19" t="s">
        <v>63</v>
      </c>
      <c r="AR47" s="19"/>
    </row>
    <row r="48" spans="1:44" x14ac:dyDescent="0.3">
      <c r="A48" s="19" t="s">
        <v>158</v>
      </c>
      <c r="B48" s="19">
        <v>10</v>
      </c>
      <c r="C48" s="19" t="s">
        <v>53</v>
      </c>
      <c r="D48" s="19"/>
      <c r="E48" s="19">
        <v>60</v>
      </c>
      <c r="F48" s="19"/>
      <c r="G48" s="19">
        <v>100</v>
      </c>
      <c r="H48" s="19">
        <v>2</v>
      </c>
      <c r="I48" s="19">
        <v>2.0099999999999998</v>
      </c>
      <c r="J48" s="19">
        <v>147</v>
      </c>
      <c r="K48" s="19">
        <f t="shared" si="27"/>
        <v>7.3134328358208961E-2</v>
      </c>
      <c r="L48" s="19">
        <v>0.48</v>
      </c>
      <c r="M48" s="19">
        <f t="shared" si="28"/>
        <v>0.96</v>
      </c>
      <c r="N48" s="19">
        <v>1</v>
      </c>
      <c r="O48" s="19">
        <v>0.246</v>
      </c>
      <c r="P48" s="19">
        <v>0.77800000000000002</v>
      </c>
      <c r="Q48" s="19">
        <f t="shared" si="29"/>
        <v>316195.37275064265</v>
      </c>
      <c r="R48" s="19"/>
      <c r="S48" s="19">
        <f t="shared" si="30"/>
        <v>0.191388</v>
      </c>
      <c r="T48" s="19">
        <v>91</v>
      </c>
      <c r="U48" s="19">
        <f t="shared" si="31"/>
        <v>-1.7452406437283477E-2</v>
      </c>
      <c r="V48" s="19">
        <f t="shared" si="32"/>
        <v>-3.1861027593406274E-3</v>
      </c>
      <c r="W48" s="19">
        <f t="shared" si="33"/>
        <v>1.0033188570409799</v>
      </c>
      <c r="X48" s="19"/>
      <c r="Y48" s="19"/>
      <c r="Z48" s="19" t="str">
        <f t="shared" si="34"/>
        <v/>
      </c>
      <c r="AA48" s="19">
        <f t="shared" si="35"/>
        <v>0.81329027425769451</v>
      </c>
      <c r="AB48" s="19" t="s">
        <v>165</v>
      </c>
      <c r="AC48" s="19">
        <v>183</v>
      </c>
      <c r="AD48" s="19">
        <v>147</v>
      </c>
      <c r="AE48" s="19">
        <v>19</v>
      </c>
      <c r="AF48" s="19">
        <v>10</v>
      </c>
      <c r="AG48" s="19">
        <v>9</v>
      </c>
      <c r="AH48" s="19"/>
      <c r="AI48" s="19"/>
      <c r="AJ48" s="19"/>
      <c r="AK48" s="19"/>
      <c r="AL48" s="19"/>
      <c r="AM48" s="19">
        <v>27</v>
      </c>
      <c r="AN48" s="19" t="s">
        <v>160</v>
      </c>
      <c r="AO48" s="19"/>
      <c r="AP48" s="19"/>
      <c r="AQ48" s="19" t="s">
        <v>64</v>
      </c>
      <c r="AR48" s="19"/>
    </row>
  </sheetData>
  <mergeCells count="12">
    <mergeCell ref="A38:AR38"/>
    <mergeCell ref="AQ2:AR2"/>
    <mergeCell ref="R2:Z2"/>
    <mergeCell ref="AA2:AL2"/>
    <mergeCell ref="A2:H2"/>
    <mergeCell ref="I2:M2"/>
    <mergeCell ref="AM2:AP2"/>
    <mergeCell ref="A1:AR1"/>
    <mergeCell ref="A27:AR27"/>
    <mergeCell ref="N2:Q2"/>
    <mergeCell ref="A4:AR4"/>
    <mergeCell ref="A15:AR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AR75"/>
  <sheetViews>
    <sheetView showGridLines="0" workbookViewId="0">
      <pane xSplit="5" ySplit="3" topLeftCell="AO18" activePane="bottomRight" state="frozen"/>
      <selection pane="topRight"/>
      <selection pane="bottomLeft"/>
      <selection pane="bottomRight" activeCell="AU29" sqref="AU29"/>
    </sheetView>
  </sheetViews>
  <sheetFormatPr baseColWidth="10" defaultColWidth="8.88671875" defaultRowHeight="14.4" x14ac:dyDescent="0.3"/>
  <cols>
    <col min="1" max="1" width="22" customWidth="1"/>
    <col min="2" max="2" width="7" customWidth="1"/>
    <col min="3" max="3" width="9" customWidth="1"/>
    <col min="4" max="7" width="10" customWidth="1"/>
    <col min="8" max="8" width="12" customWidth="1"/>
    <col min="43" max="43" width="20.109375" customWidth="1"/>
  </cols>
  <sheetData>
    <row r="1" spans="1:44" ht="15.6" customHeight="1" x14ac:dyDescent="0.3">
      <c r="A1" s="58" t="s">
        <v>65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</row>
    <row r="2" spans="1:44" ht="13.95" customHeight="1" x14ac:dyDescent="0.3">
      <c r="A2" s="57" t="s">
        <v>27</v>
      </c>
      <c r="B2" s="55"/>
      <c r="C2" s="55"/>
      <c r="D2" s="55"/>
      <c r="E2" s="55"/>
      <c r="F2" s="55"/>
      <c r="G2" s="55"/>
      <c r="H2" s="55"/>
      <c r="I2" s="57" t="s">
        <v>127</v>
      </c>
      <c r="J2" s="55"/>
      <c r="K2" s="55"/>
      <c r="L2" s="55"/>
      <c r="M2" s="55"/>
      <c r="N2" s="57" t="s">
        <v>128</v>
      </c>
      <c r="O2" s="55"/>
      <c r="P2" s="55"/>
      <c r="Q2" s="55"/>
      <c r="R2" s="57" t="s">
        <v>129</v>
      </c>
      <c r="S2" s="55"/>
      <c r="T2" s="55"/>
      <c r="U2" s="55"/>
      <c r="V2" s="55"/>
      <c r="W2" s="55"/>
      <c r="X2" s="55"/>
      <c r="Y2" s="55"/>
      <c r="Z2" s="55"/>
      <c r="AA2" s="57" t="s">
        <v>130</v>
      </c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7" t="s">
        <v>131</v>
      </c>
      <c r="AN2" s="55"/>
      <c r="AO2" s="55"/>
      <c r="AP2" s="55"/>
      <c r="AQ2" s="57" t="s">
        <v>132</v>
      </c>
      <c r="AR2" s="55"/>
    </row>
    <row r="3" spans="1:44" ht="31.95" customHeight="1" x14ac:dyDescent="0.3">
      <c r="A3" s="12" t="s">
        <v>133</v>
      </c>
      <c r="B3" s="12" t="s">
        <v>134</v>
      </c>
      <c r="C3" s="12" t="s">
        <v>28</v>
      </c>
      <c r="D3" s="12" t="s">
        <v>135</v>
      </c>
      <c r="E3" s="12" t="s">
        <v>136</v>
      </c>
      <c r="F3" s="12" t="s">
        <v>29</v>
      </c>
      <c r="G3" s="12" t="s">
        <v>30</v>
      </c>
      <c r="H3" s="12" t="s">
        <v>137</v>
      </c>
      <c r="I3" s="13" t="s">
        <v>31</v>
      </c>
      <c r="J3" s="13" t="s">
        <v>32</v>
      </c>
      <c r="K3" s="13" t="s">
        <v>33</v>
      </c>
      <c r="L3" s="13" t="s">
        <v>138</v>
      </c>
      <c r="M3" s="13" t="s">
        <v>6</v>
      </c>
      <c r="N3" s="14" t="s">
        <v>139</v>
      </c>
      <c r="O3" s="14" t="s">
        <v>140</v>
      </c>
      <c r="P3" s="14" t="s">
        <v>3</v>
      </c>
      <c r="Q3" s="14" t="s">
        <v>34</v>
      </c>
      <c r="R3" s="15" t="s">
        <v>35</v>
      </c>
      <c r="S3" s="15" t="s">
        <v>36</v>
      </c>
      <c r="T3" s="15" t="s">
        <v>4</v>
      </c>
      <c r="U3" s="15" t="s">
        <v>37</v>
      </c>
      <c r="V3" s="15" t="s">
        <v>38</v>
      </c>
      <c r="W3" s="15" t="s">
        <v>141</v>
      </c>
      <c r="X3" s="15" t="s">
        <v>5</v>
      </c>
      <c r="Y3" s="15" t="s">
        <v>39</v>
      </c>
      <c r="Z3" s="15" t="s">
        <v>142</v>
      </c>
      <c r="AA3" s="16" t="s">
        <v>40</v>
      </c>
      <c r="AB3" s="16" t="s">
        <v>143</v>
      </c>
      <c r="AC3" s="16" t="s">
        <v>41</v>
      </c>
      <c r="AD3" s="16" t="s">
        <v>42</v>
      </c>
      <c r="AE3" s="16" t="s">
        <v>43</v>
      </c>
      <c r="AF3" s="16" t="s">
        <v>44</v>
      </c>
      <c r="AG3" s="16" t="s">
        <v>45</v>
      </c>
      <c r="AH3" s="16" t="s">
        <v>46</v>
      </c>
      <c r="AI3" s="16" t="s">
        <v>47</v>
      </c>
      <c r="AJ3" s="16" t="s">
        <v>48</v>
      </c>
      <c r="AK3" s="16" t="s">
        <v>49</v>
      </c>
      <c r="AL3" s="16" t="s">
        <v>50</v>
      </c>
      <c r="AM3" s="17" t="s">
        <v>51</v>
      </c>
      <c r="AN3" s="17" t="s">
        <v>144</v>
      </c>
      <c r="AO3" s="17" t="s">
        <v>145</v>
      </c>
      <c r="AP3" s="17" t="s">
        <v>146</v>
      </c>
      <c r="AQ3" s="18" t="s">
        <v>52</v>
      </c>
      <c r="AR3" s="18" t="s">
        <v>2</v>
      </c>
    </row>
    <row r="4" spans="1:44" ht="18" customHeight="1" x14ac:dyDescent="0.3">
      <c r="A4" s="59" t="s">
        <v>166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</row>
    <row r="5" spans="1:44" x14ac:dyDescent="0.3">
      <c r="A5" s="19" t="s">
        <v>148</v>
      </c>
      <c r="B5" s="19">
        <v>1</v>
      </c>
      <c r="C5" s="19" t="s">
        <v>53</v>
      </c>
      <c r="D5" s="19">
        <v>3</v>
      </c>
      <c r="E5" s="19">
        <v>5</v>
      </c>
      <c r="F5" s="19"/>
      <c r="G5" s="19">
        <v>100</v>
      </c>
      <c r="H5" s="19">
        <v>1</v>
      </c>
      <c r="I5" s="19">
        <v>0.99099999999999999</v>
      </c>
      <c r="J5" s="19">
        <v>89</v>
      </c>
      <c r="K5" s="19">
        <f t="shared" ref="K5:K12" si="0">IF(COUNT(J5,I5)=0,"",IFERROR(J5/1000/I5,""))</f>
        <v>8.9808274470232083E-2</v>
      </c>
      <c r="L5" s="19">
        <v>0.13</v>
      </c>
      <c r="M5" s="19">
        <f t="shared" ref="M5:M12" si="1">IF(COUNT(H5,L5)=0,"",IFERROR(H5*L5,""))</f>
        <v>0.13</v>
      </c>
      <c r="N5" s="19">
        <v>1.9830000000000001</v>
      </c>
      <c r="O5" s="19">
        <v>0.66900000000000004</v>
      </c>
      <c r="P5" s="19">
        <v>0.45</v>
      </c>
      <c r="Q5" s="19">
        <f t="shared" ref="Q5:Q12" si="2">IF(COUNT(O5,P5)=0,"",IFERROR(O5*1000/P5*1000,""))</f>
        <v>1486666.6666666667</v>
      </c>
      <c r="R5" s="19"/>
      <c r="S5" s="19">
        <f t="shared" ref="S5:S12" si="3">IF(COUNT(O5,P5)=0,"",IFERROR(O5*P5,""))</f>
        <v>0.30105000000000004</v>
      </c>
      <c r="T5" s="19">
        <v>72.400000000000006</v>
      </c>
      <c r="U5" s="19">
        <f t="shared" ref="U5:U12" si="4">IF(COUNT(T5)=0,"",IFERROR(COS(T5/180*PI()),""))</f>
        <v>0.30236989075044457</v>
      </c>
      <c r="V5" s="19">
        <f t="shared" ref="V5:V12" si="5">IF(COUNT(S5,T5)=0,"",IFERROR(S5*COS(T5/360*2*3.14),""))</f>
        <v>9.1212262438534239E-2</v>
      </c>
      <c r="W5" s="19">
        <f t="shared" ref="W5:W12" si="6">IF(COUNT(V5,M5)=0,"",IFERROR(1-V5/M5,""))</f>
        <v>0.29836721201127514</v>
      </c>
      <c r="X5" s="19"/>
      <c r="Y5" s="19"/>
      <c r="Z5" s="19" t="str">
        <f t="shared" ref="Z5:Z12" si="7">IFERROR(IF(OR(V5="",X5="",X5=0),"",(V5-X5)/X5*100),"")</f>
        <v/>
      </c>
      <c r="AA5" s="19">
        <f t="shared" ref="AA5:AA12" si="8">IF(COUNT(AD5,AE5,AF5,AG5,AH5,AI5,AJ5,AK5,AL5,AC5)=0,"",IFERROR(SQRT(AD5^2+AE5^2+AF5^2+AG5^2+AH5^2+AI5^2+AJ5^2+AK5^2+AL5^2)/AC5,""))</f>
        <v>0.24904076328012636</v>
      </c>
      <c r="AB5" s="19" t="s">
        <v>167</v>
      </c>
      <c r="AC5" s="19">
        <v>650</v>
      </c>
      <c r="AD5" s="19">
        <v>149</v>
      </c>
      <c r="AE5" s="19">
        <v>56</v>
      </c>
      <c r="AF5" s="19">
        <v>18</v>
      </c>
      <c r="AG5" s="19">
        <v>17</v>
      </c>
      <c r="AH5" s="19">
        <v>13</v>
      </c>
      <c r="AI5" s="19">
        <v>7</v>
      </c>
      <c r="AJ5" s="19">
        <v>6</v>
      </c>
      <c r="AK5" s="19"/>
      <c r="AL5" s="19"/>
      <c r="AM5" s="19">
        <v>24</v>
      </c>
      <c r="AN5" s="19" t="s">
        <v>55</v>
      </c>
      <c r="AO5" s="19">
        <v>0</v>
      </c>
      <c r="AP5" s="19"/>
      <c r="AQ5" s="19"/>
      <c r="AR5" s="19"/>
    </row>
    <row r="6" spans="1:44" x14ac:dyDescent="0.3">
      <c r="A6" s="19" t="s">
        <v>148</v>
      </c>
      <c r="B6" s="19">
        <v>2</v>
      </c>
      <c r="C6" s="19" t="s">
        <v>53</v>
      </c>
      <c r="D6" s="19">
        <v>3</v>
      </c>
      <c r="E6" s="19">
        <v>5</v>
      </c>
      <c r="F6" s="19"/>
      <c r="G6" s="19">
        <v>100</v>
      </c>
      <c r="H6" s="19">
        <v>2</v>
      </c>
      <c r="I6" s="19">
        <v>1.994</v>
      </c>
      <c r="J6" s="19">
        <v>93</v>
      </c>
      <c r="K6" s="19">
        <f t="shared" si="0"/>
        <v>4.663991975927783E-2</v>
      </c>
      <c r="L6" s="19">
        <v>0.3</v>
      </c>
      <c r="M6" s="19">
        <f t="shared" si="1"/>
        <v>0.6</v>
      </c>
      <c r="N6" s="19">
        <v>3.45</v>
      </c>
      <c r="O6" s="19">
        <v>1.27</v>
      </c>
      <c r="P6" s="19">
        <v>0.58599999999999997</v>
      </c>
      <c r="Q6" s="19">
        <f t="shared" si="2"/>
        <v>2167235.4948805464</v>
      </c>
      <c r="R6" s="19"/>
      <c r="S6" s="19">
        <f t="shared" si="3"/>
        <v>0.74421999999999999</v>
      </c>
      <c r="T6" s="19">
        <v>69.5</v>
      </c>
      <c r="U6" s="19">
        <f t="shared" si="4"/>
        <v>0.35020738125946743</v>
      </c>
      <c r="V6" s="19">
        <f t="shared" si="5"/>
        <v>0.26105995747731764</v>
      </c>
      <c r="W6" s="19">
        <f t="shared" si="6"/>
        <v>0.56490007087113725</v>
      </c>
      <c r="X6" s="19"/>
      <c r="Y6" s="19"/>
      <c r="Z6" s="19" t="str">
        <f t="shared" si="7"/>
        <v/>
      </c>
      <c r="AA6" s="19">
        <f t="shared" si="8"/>
        <v>0.11728272205060758</v>
      </c>
      <c r="AB6" s="19" t="s">
        <v>168</v>
      </c>
      <c r="AC6" s="19">
        <v>1268</v>
      </c>
      <c r="AD6" s="19">
        <v>133</v>
      </c>
      <c r="AE6" s="19">
        <v>49</v>
      </c>
      <c r="AF6" s="19">
        <v>35</v>
      </c>
      <c r="AG6" s="19">
        <v>24</v>
      </c>
      <c r="AH6" s="19">
        <v>12</v>
      </c>
      <c r="AI6" s="19">
        <v>9</v>
      </c>
      <c r="AJ6" s="19"/>
      <c r="AK6" s="19"/>
      <c r="AL6" s="19"/>
      <c r="AM6" s="19">
        <v>25</v>
      </c>
      <c r="AN6" s="19" t="s">
        <v>55</v>
      </c>
      <c r="AO6" s="19">
        <v>0</v>
      </c>
      <c r="AP6" s="19"/>
      <c r="AQ6" s="19"/>
      <c r="AR6" s="19"/>
    </row>
    <row r="7" spans="1:44" x14ac:dyDescent="0.3">
      <c r="A7" s="19" t="s">
        <v>148</v>
      </c>
      <c r="B7" s="19">
        <v>3</v>
      </c>
      <c r="C7" s="19" t="s">
        <v>53</v>
      </c>
      <c r="D7" s="19">
        <v>3</v>
      </c>
      <c r="E7" s="19">
        <v>5</v>
      </c>
      <c r="F7" s="19"/>
      <c r="G7" s="19">
        <v>100</v>
      </c>
      <c r="H7" s="19">
        <v>3</v>
      </c>
      <c r="I7" s="19">
        <v>2.98</v>
      </c>
      <c r="J7" s="19">
        <v>129</v>
      </c>
      <c r="K7" s="19">
        <f t="shared" si="0"/>
        <v>4.3288590604026844E-2</v>
      </c>
      <c r="L7" s="19">
        <v>0.51</v>
      </c>
      <c r="M7" s="19">
        <f t="shared" si="1"/>
        <v>1.53</v>
      </c>
      <c r="N7" s="19">
        <v>4.01</v>
      </c>
      <c r="O7" s="19">
        <v>1.54</v>
      </c>
      <c r="P7" s="19">
        <v>0.747</v>
      </c>
      <c r="Q7" s="19">
        <f t="shared" si="2"/>
        <v>2061579.6519410978</v>
      </c>
      <c r="R7" s="19"/>
      <c r="S7" s="19">
        <f t="shared" si="3"/>
        <v>1.15038</v>
      </c>
      <c r="T7" s="19">
        <v>68.400000000000006</v>
      </c>
      <c r="U7" s="19">
        <f t="shared" si="4"/>
        <v>0.36812455268467809</v>
      </c>
      <c r="V7" s="19">
        <f t="shared" si="5"/>
        <v>0.42413037393294528</v>
      </c>
      <c r="W7" s="19">
        <f t="shared" si="6"/>
        <v>0.72279060527258476</v>
      </c>
      <c r="X7" s="19"/>
      <c r="Y7" s="19"/>
      <c r="Z7" s="19" t="str">
        <f t="shared" si="7"/>
        <v/>
      </c>
      <c r="AA7" s="19">
        <f t="shared" si="8"/>
        <v>0.12821282508516391</v>
      </c>
      <c r="AB7" s="19" t="s">
        <v>168</v>
      </c>
      <c r="AC7" s="19">
        <v>1539</v>
      </c>
      <c r="AD7" s="19">
        <v>175</v>
      </c>
      <c r="AE7" s="19">
        <v>75</v>
      </c>
      <c r="AF7" s="19">
        <v>44</v>
      </c>
      <c r="AG7" s="19">
        <v>18</v>
      </c>
      <c r="AH7" s="19">
        <v>12</v>
      </c>
      <c r="AI7" s="19">
        <v>10</v>
      </c>
      <c r="AJ7" s="19">
        <v>9</v>
      </c>
      <c r="AK7" s="19">
        <v>8</v>
      </c>
      <c r="AL7" s="19">
        <v>6</v>
      </c>
      <c r="AM7" s="19">
        <v>26</v>
      </c>
      <c r="AN7" s="19" t="s">
        <v>55</v>
      </c>
      <c r="AO7" s="19">
        <v>0</v>
      </c>
      <c r="AP7" s="19"/>
      <c r="AQ7" s="19"/>
      <c r="AR7" s="19"/>
    </row>
    <row r="8" spans="1:44" x14ac:dyDescent="0.3">
      <c r="A8" s="19" t="s">
        <v>148</v>
      </c>
      <c r="B8" s="19">
        <v>4</v>
      </c>
      <c r="C8" s="19" t="s">
        <v>53</v>
      </c>
      <c r="D8" s="19">
        <v>3</v>
      </c>
      <c r="E8" s="19">
        <v>5</v>
      </c>
      <c r="F8" s="19"/>
      <c r="G8" s="19">
        <v>100</v>
      </c>
      <c r="H8" s="19">
        <v>4</v>
      </c>
      <c r="I8" s="19">
        <v>3.98</v>
      </c>
      <c r="J8" s="19">
        <v>155</v>
      </c>
      <c r="K8" s="19">
        <f t="shared" si="0"/>
        <v>3.8944723618090454E-2</v>
      </c>
      <c r="L8" s="19">
        <v>0.73</v>
      </c>
      <c r="M8" s="19">
        <f t="shared" si="1"/>
        <v>2.92</v>
      </c>
      <c r="N8" s="19">
        <v>4.5</v>
      </c>
      <c r="O8" s="19">
        <v>1.71</v>
      </c>
      <c r="P8" s="19">
        <v>0.98699999999999999</v>
      </c>
      <c r="Q8" s="19">
        <f t="shared" si="2"/>
        <v>1732522.7963525834</v>
      </c>
      <c r="R8" s="19"/>
      <c r="S8" s="19">
        <f t="shared" si="3"/>
        <v>1.68777</v>
      </c>
      <c r="T8" s="19">
        <v>72.3</v>
      </c>
      <c r="U8" s="19">
        <f t="shared" si="4"/>
        <v>0.30403306092549021</v>
      </c>
      <c r="V8" s="19">
        <f t="shared" si="5"/>
        <v>0.51416635632690499</v>
      </c>
      <c r="W8" s="19">
        <f t="shared" si="6"/>
        <v>0.82391563139489554</v>
      </c>
      <c r="X8" s="19"/>
      <c r="Y8" s="19"/>
      <c r="Z8" s="19" t="str">
        <f t="shared" si="7"/>
        <v/>
      </c>
      <c r="AA8" s="19">
        <f t="shared" si="8"/>
        <v>0.18284422404646647</v>
      </c>
      <c r="AB8" s="19" t="s">
        <v>168</v>
      </c>
      <c r="AC8" s="19">
        <v>1708</v>
      </c>
      <c r="AD8" s="19">
        <v>238</v>
      </c>
      <c r="AE8" s="19">
        <v>183</v>
      </c>
      <c r="AF8" s="19">
        <v>72</v>
      </c>
      <c r="AG8" s="19">
        <v>36</v>
      </c>
      <c r="AH8" s="19">
        <v>19</v>
      </c>
      <c r="AI8" s="19">
        <v>16</v>
      </c>
      <c r="AJ8" s="19">
        <v>10</v>
      </c>
      <c r="AK8" s="19">
        <v>10</v>
      </c>
      <c r="AL8" s="19">
        <v>10</v>
      </c>
      <c r="AM8" s="19">
        <v>29</v>
      </c>
      <c r="AN8" s="19" t="s">
        <v>55</v>
      </c>
      <c r="AO8" s="19">
        <v>1</v>
      </c>
      <c r="AP8" s="19" t="s">
        <v>169</v>
      </c>
      <c r="AQ8" s="19" t="s">
        <v>66</v>
      </c>
      <c r="AR8" s="19"/>
    </row>
    <row r="9" spans="1:44" x14ac:dyDescent="0.3">
      <c r="A9" s="19" t="s">
        <v>148</v>
      </c>
      <c r="B9" s="19">
        <v>5</v>
      </c>
      <c r="C9" s="19" t="s">
        <v>53</v>
      </c>
      <c r="D9" s="19">
        <v>3</v>
      </c>
      <c r="E9" s="19">
        <v>5</v>
      </c>
      <c r="F9" s="19"/>
      <c r="G9" s="19">
        <v>100</v>
      </c>
      <c r="H9" s="19">
        <v>5</v>
      </c>
      <c r="I9" s="19">
        <v>4.96</v>
      </c>
      <c r="J9" s="19">
        <v>253</v>
      </c>
      <c r="K9" s="19">
        <f t="shared" si="0"/>
        <v>5.1008064516129034E-2</v>
      </c>
      <c r="L9" s="19">
        <v>1.48</v>
      </c>
      <c r="M9" s="19">
        <f t="shared" si="1"/>
        <v>7.4</v>
      </c>
      <c r="N9" s="19">
        <v>6.47</v>
      </c>
      <c r="O9" s="19">
        <v>2.27</v>
      </c>
      <c r="P9" s="19">
        <v>1.96</v>
      </c>
      <c r="Q9" s="19">
        <f t="shared" si="2"/>
        <v>1158163.2653061224</v>
      </c>
      <c r="R9" s="19"/>
      <c r="S9" s="19">
        <f t="shared" si="3"/>
        <v>4.4492000000000003</v>
      </c>
      <c r="T9" s="19">
        <v>70</v>
      </c>
      <c r="U9" s="19">
        <f t="shared" si="4"/>
        <v>0.34202014332566882</v>
      </c>
      <c r="V9" s="19">
        <f t="shared" si="5"/>
        <v>1.5243052218290822</v>
      </c>
      <c r="W9" s="19">
        <f t="shared" si="6"/>
        <v>0.79401280786093487</v>
      </c>
      <c r="X9" s="19"/>
      <c r="Y9" s="19"/>
      <c r="Z9" s="19" t="str">
        <f t="shared" si="7"/>
        <v/>
      </c>
      <c r="AA9" s="19">
        <f t="shared" si="8"/>
        <v>0.1810196386787471</v>
      </c>
      <c r="AB9" s="19" t="s">
        <v>168</v>
      </c>
      <c r="AC9" s="19">
        <v>2242</v>
      </c>
      <c r="AD9" s="19">
        <v>321</v>
      </c>
      <c r="AE9" s="19">
        <v>199</v>
      </c>
      <c r="AF9" s="19">
        <v>121</v>
      </c>
      <c r="AG9" s="19">
        <v>67</v>
      </c>
      <c r="AH9" s="19">
        <v>38</v>
      </c>
      <c r="AI9" s="19">
        <v>27</v>
      </c>
      <c r="AJ9" s="19">
        <v>21</v>
      </c>
      <c r="AK9" s="19">
        <v>15</v>
      </c>
      <c r="AL9" s="19">
        <v>10</v>
      </c>
      <c r="AM9" s="19">
        <v>34</v>
      </c>
      <c r="AN9" s="19" t="s">
        <v>160</v>
      </c>
      <c r="AO9" s="19">
        <v>1</v>
      </c>
      <c r="AP9" s="19"/>
      <c r="AQ9" s="19"/>
      <c r="AR9" s="19"/>
    </row>
    <row r="10" spans="1:44" x14ac:dyDescent="0.3">
      <c r="A10" s="19" t="s">
        <v>148</v>
      </c>
      <c r="B10" s="19">
        <v>6</v>
      </c>
      <c r="C10" s="19" t="s">
        <v>53</v>
      </c>
      <c r="D10" s="19">
        <v>3</v>
      </c>
      <c r="E10" s="19">
        <v>5</v>
      </c>
      <c r="F10" s="19"/>
      <c r="G10" s="19">
        <v>100</v>
      </c>
      <c r="H10" s="19">
        <v>6</v>
      </c>
      <c r="I10" s="19">
        <v>5.96</v>
      </c>
      <c r="J10" s="19">
        <v>491</v>
      </c>
      <c r="K10" s="19">
        <f t="shared" si="0"/>
        <v>8.2382550335570473E-2</v>
      </c>
      <c r="L10" s="19">
        <v>1.78</v>
      </c>
      <c r="M10" s="19">
        <f t="shared" si="1"/>
        <v>10.68</v>
      </c>
      <c r="N10" s="19">
        <v>8.2100000000000009</v>
      </c>
      <c r="O10" s="19">
        <v>3.0350000000000001</v>
      </c>
      <c r="P10" s="19">
        <v>3.1680000000000001</v>
      </c>
      <c r="Q10" s="19">
        <f t="shared" si="2"/>
        <v>958017.67676767672</v>
      </c>
      <c r="R10" s="19">
        <v>6.8</v>
      </c>
      <c r="S10" s="19">
        <f t="shared" si="3"/>
        <v>9.6148800000000012</v>
      </c>
      <c r="T10" s="19">
        <v>73.900000000000006</v>
      </c>
      <c r="U10" s="19">
        <f t="shared" si="4"/>
        <v>0.27731465330237792</v>
      </c>
      <c r="V10" s="19">
        <f t="shared" si="5"/>
        <v>2.6723868737629823</v>
      </c>
      <c r="W10" s="19">
        <f t="shared" si="6"/>
        <v>0.74977650994728628</v>
      </c>
      <c r="X10" s="19"/>
      <c r="Y10" s="19"/>
      <c r="Z10" s="19" t="str">
        <f t="shared" si="7"/>
        <v/>
      </c>
      <c r="AA10" s="19">
        <f t="shared" si="8"/>
        <v>0.18826667399787078</v>
      </c>
      <c r="AB10" s="19" t="s">
        <v>170</v>
      </c>
      <c r="AC10" s="19">
        <v>2961</v>
      </c>
      <c r="AD10" s="19">
        <v>446</v>
      </c>
      <c r="AE10" s="19">
        <v>209</v>
      </c>
      <c r="AF10" s="19">
        <v>175</v>
      </c>
      <c r="AG10" s="19">
        <v>153</v>
      </c>
      <c r="AH10" s="19">
        <v>71</v>
      </c>
      <c r="AI10" s="19">
        <v>53</v>
      </c>
      <c r="AJ10" s="19">
        <v>53</v>
      </c>
      <c r="AK10" s="19">
        <v>45</v>
      </c>
      <c r="AL10" s="19">
        <v>38</v>
      </c>
      <c r="AM10" s="19">
        <v>50</v>
      </c>
      <c r="AN10" s="19" t="s">
        <v>160</v>
      </c>
      <c r="AO10" s="19">
        <v>1</v>
      </c>
      <c r="AP10" s="19"/>
      <c r="AQ10" s="19"/>
      <c r="AR10" s="19" t="s">
        <v>171</v>
      </c>
    </row>
    <row r="11" spans="1:44" x14ac:dyDescent="0.3">
      <c r="A11" s="19" t="s">
        <v>148</v>
      </c>
      <c r="B11" s="19">
        <v>7</v>
      </c>
      <c r="C11" s="19" t="s">
        <v>53</v>
      </c>
      <c r="D11" s="19">
        <v>3</v>
      </c>
      <c r="E11" s="19">
        <v>5</v>
      </c>
      <c r="F11" s="19"/>
      <c r="G11" s="19">
        <v>100</v>
      </c>
      <c r="H11" s="19">
        <v>6.3</v>
      </c>
      <c r="I11" s="19">
        <v>6.24</v>
      </c>
      <c r="J11" s="19">
        <v>582</v>
      </c>
      <c r="K11" s="19">
        <f t="shared" si="0"/>
        <v>9.3269230769230757E-2</v>
      </c>
      <c r="L11" s="19">
        <v>1.89</v>
      </c>
      <c r="M11" s="19">
        <f t="shared" si="1"/>
        <v>11.906999999999998</v>
      </c>
      <c r="N11" s="19">
        <v>8.69</v>
      </c>
      <c r="O11" s="19">
        <v>3.25</v>
      </c>
      <c r="P11" s="19">
        <v>3.4830000000000001</v>
      </c>
      <c r="Q11" s="19">
        <f t="shared" si="2"/>
        <v>933103.64628194086</v>
      </c>
      <c r="R11" s="19">
        <v>7.56</v>
      </c>
      <c r="S11" s="19">
        <f t="shared" si="3"/>
        <v>11.319750000000001</v>
      </c>
      <c r="T11" s="19">
        <v>74.900000000000006</v>
      </c>
      <c r="U11" s="19">
        <f t="shared" si="4"/>
        <v>0.26050450864264824</v>
      </c>
      <c r="V11" s="19">
        <f t="shared" si="5"/>
        <v>2.9560880794040254</v>
      </c>
      <c r="W11" s="19">
        <f t="shared" si="6"/>
        <v>0.75173527509834337</v>
      </c>
      <c r="X11" s="19"/>
      <c r="Y11" s="19"/>
      <c r="Z11" s="19" t="str">
        <f t="shared" si="7"/>
        <v/>
      </c>
      <c r="AA11" s="19">
        <f t="shared" si="8"/>
        <v>0.20006201808247814</v>
      </c>
      <c r="AB11" s="19" t="s">
        <v>170</v>
      </c>
      <c r="AC11" s="19">
        <v>3158</v>
      </c>
      <c r="AD11" s="19">
        <v>502</v>
      </c>
      <c r="AE11" s="19">
        <v>232</v>
      </c>
      <c r="AF11" s="19">
        <v>209</v>
      </c>
      <c r="AG11" s="19">
        <v>180</v>
      </c>
      <c r="AH11" s="19">
        <v>86</v>
      </c>
      <c r="AI11" s="19">
        <v>69</v>
      </c>
      <c r="AJ11" s="19">
        <v>50</v>
      </c>
      <c r="AK11" s="19">
        <v>38</v>
      </c>
      <c r="AL11" s="19">
        <v>34</v>
      </c>
      <c r="AM11" s="19">
        <v>51</v>
      </c>
      <c r="AN11" s="19" t="s">
        <v>55</v>
      </c>
      <c r="AO11" s="19">
        <v>1</v>
      </c>
      <c r="AP11" s="19"/>
      <c r="AQ11" s="19"/>
      <c r="AR11" s="19"/>
    </row>
    <row r="12" spans="1:44" x14ac:dyDescent="0.3">
      <c r="A12" s="19" t="s">
        <v>148</v>
      </c>
      <c r="B12" s="19">
        <v>8</v>
      </c>
      <c r="C12" s="19" t="s">
        <v>53</v>
      </c>
      <c r="D12" s="19">
        <v>3</v>
      </c>
      <c r="E12" s="19">
        <v>5</v>
      </c>
      <c r="F12" s="19"/>
      <c r="G12" s="19">
        <v>100</v>
      </c>
      <c r="H12" s="19">
        <v>7</v>
      </c>
      <c r="I12" s="19">
        <v>6.96</v>
      </c>
      <c r="J12" s="19">
        <v>335</v>
      </c>
      <c r="K12" s="19">
        <f t="shared" si="0"/>
        <v>4.8132183908045981E-2</v>
      </c>
      <c r="L12" s="19">
        <v>3.01</v>
      </c>
      <c r="M12" s="19">
        <f t="shared" si="1"/>
        <v>21.07</v>
      </c>
      <c r="N12" s="19">
        <v>10.029999999999999</v>
      </c>
      <c r="O12" s="19">
        <v>3.75</v>
      </c>
      <c r="P12" s="19">
        <v>4.59</v>
      </c>
      <c r="Q12" s="19">
        <f t="shared" si="2"/>
        <v>816993.46405228763</v>
      </c>
      <c r="R12" s="19">
        <v>11.56</v>
      </c>
      <c r="S12" s="19">
        <f t="shared" si="3"/>
        <v>17.212499999999999</v>
      </c>
      <c r="T12" s="19">
        <v>88.4</v>
      </c>
      <c r="U12" s="19">
        <f t="shared" si="4"/>
        <v>2.7921638723568759E-2</v>
      </c>
      <c r="V12" s="19">
        <f t="shared" si="5"/>
        <v>0.49405890804189379</v>
      </c>
      <c r="W12" s="19">
        <f t="shared" si="6"/>
        <v>0.97655154684186551</v>
      </c>
      <c r="X12" s="19"/>
      <c r="Y12" s="19"/>
      <c r="Z12" s="19" t="str">
        <f t="shared" si="7"/>
        <v/>
      </c>
      <c r="AA12" s="19">
        <f t="shared" si="8"/>
        <v>0.30830999205616344</v>
      </c>
      <c r="AB12" s="19" t="s">
        <v>172</v>
      </c>
      <c r="AC12" s="19">
        <v>3559</v>
      </c>
      <c r="AD12" s="19">
        <v>623</v>
      </c>
      <c r="AE12" s="19">
        <v>573</v>
      </c>
      <c r="AF12" s="19">
        <v>442</v>
      </c>
      <c r="AG12" s="19">
        <v>357</v>
      </c>
      <c r="AH12" s="19">
        <v>311</v>
      </c>
      <c r="AI12" s="19">
        <v>204</v>
      </c>
      <c r="AJ12" s="19">
        <v>144</v>
      </c>
      <c r="AK12" s="19">
        <v>65</v>
      </c>
      <c r="AL12" s="19">
        <v>38</v>
      </c>
      <c r="AM12" s="19">
        <v>69</v>
      </c>
      <c r="AN12" s="19" t="s">
        <v>55</v>
      </c>
      <c r="AO12" s="19">
        <v>1</v>
      </c>
      <c r="AP12" s="19"/>
      <c r="AQ12" s="19" t="s">
        <v>67</v>
      </c>
      <c r="AR12" s="19" t="s">
        <v>173</v>
      </c>
    </row>
    <row r="13" spans="1:44" ht="18" customHeight="1" x14ac:dyDescent="0.3">
      <c r="A13" s="61" t="s">
        <v>174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</row>
    <row r="14" spans="1:44" x14ac:dyDescent="0.3">
      <c r="A14" s="19" t="s">
        <v>150</v>
      </c>
      <c r="B14" s="19">
        <v>1</v>
      </c>
      <c r="C14" s="19" t="s">
        <v>68</v>
      </c>
      <c r="D14" s="19">
        <v>3</v>
      </c>
      <c r="E14" s="19">
        <v>5</v>
      </c>
      <c r="F14" s="19">
        <v>1</v>
      </c>
      <c r="G14" s="19">
        <v>10</v>
      </c>
      <c r="H14" s="19">
        <v>1</v>
      </c>
      <c r="I14" s="19"/>
      <c r="J14" s="19">
        <v>215</v>
      </c>
      <c r="K14" s="19" t="str">
        <f t="shared" ref="K14:K21" si="9">IF(COUNT(J14,I14)=0,"",IFERROR(J14/1000/I14,""))</f>
        <v/>
      </c>
      <c r="L14" s="19">
        <v>0.06</v>
      </c>
      <c r="M14" s="19">
        <f t="shared" ref="M14:M21" si="10">IF(COUNT(H14,L14)=0,"",IFERROR(H14*L14,""))</f>
        <v>0.06</v>
      </c>
      <c r="N14" s="19">
        <v>1.79</v>
      </c>
      <c r="O14" s="19">
        <v>0.21</v>
      </c>
      <c r="P14" s="19">
        <v>9.6000000000000002E-2</v>
      </c>
      <c r="Q14" s="19">
        <f t="shared" ref="Q14:Q21" si="11">IF(COUNT(O14,P14)=0,"",IFERROR(O14*1000/P14*1000,""))</f>
        <v>2187500</v>
      </c>
      <c r="R14" s="19">
        <v>4.7E-2</v>
      </c>
      <c r="S14" s="19">
        <f t="shared" ref="S14:S21" si="12">IF(COUNT(O14,P14)=0,"",IFERROR(O14*P14,""))</f>
        <v>2.0160000000000001E-2</v>
      </c>
      <c r="T14" s="19">
        <v>77.8</v>
      </c>
      <c r="U14" s="19">
        <f t="shared" ref="U14:U21" si="13">IF(COUNT(T14)=0,"",IFERROR(COS(T14/180*PI()),""))</f>
        <v>0.21132479645538879</v>
      </c>
      <c r="V14" s="19">
        <f t="shared" ref="V14:V21" si="14">IF(COUNT(S14,T14)=0,"",IFERROR(S14*COS(T14/360*2*3.14),""))</f>
        <v>4.2738712158889363E-3</v>
      </c>
      <c r="W14" s="19">
        <f t="shared" ref="W14:W21" si="15">IF(COUNT(V14,M14)=0,"",IFERROR(1-V14/M14,""))</f>
        <v>0.92876881306851777</v>
      </c>
      <c r="X14" s="19"/>
      <c r="Y14" s="19"/>
      <c r="Z14" s="19" t="str">
        <f t="shared" ref="Z14:Z21" si="16">IFERROR(IF(OR(V14="",X14="",X14=0),"",(V14-X14)/X14*100),"")</f>
        <v/>
      </c>
      <c r="AA14" s="19">
        <f t="shared" ref="AA14:AA21" si="17">IF(COUNT(AD14,AE14,AF14,AG14,AH14,AI14,AJ14,AK14,AL14,AC14)=0,"",IFERROR(SQRT(AD14^2+AE14^2+AF14^2+AG14^2+AH14^2+AI14^2+AJ14^2+AK14^2+AL14^2)/AC14,""))</f>
        <v>2.483269928717537</v>
      </c>
      <c r="AB14" s="19" t="s">
        <v>175</v>
      </c>
      <c r="AC14" s="19">
        <v>67</v>
      </c>
      <c r="AD14" s="19">
        <v>67</v>
      </c>
      <c r="AE14" s="19">
        <v>64</v>
      </c>
      <c r="AF14" s="19">
        <v>61</v>
      </c>
      <c r="AG14" s="19">
        <v>57</v>
      </c>
      <c r="AH14" s="19">
        <v>55</v>
      </c>
      <c r="AI14" s="19">
        <v>51</v>
      </c>
      <c r="AJ14" s="19">
        <v>46</v>
      </c>
      <c r="AK14" s="19">
        <v>52</v>
      </c>
      <c r="AL14" s="19">
        <v>41</v>
      </c>
      <c r="AM14" s="19">
        <v>24</v>
      </c>
      <c r="AN14" s="19" t="s">
        <v>55</v>
      </c>
      <c r="AO14" s="19">
        <v>0</v>
      </c>
      <c r="AP14" s="19"/>
      <c r="AQ14" s="19" t="s">
        <v>69</v>
      </c>
      <c r="AR14" s="19"/>
    </row>
    <row r="15" spans="1:44" x14ac:dyDescent="0.3">
      <c r="A15" s="19" t="s">
        <v>150</v>
      </c>
      <c r="B15" s="19">
        <v>2</v>
      </c>
      <c r="C15" s="19" t="s">
        <v>68</v>
      </c>
      <c r="D15" s="19">
        <v>3</v>
      </c>
      <c r="E15" s="19">
        <v>5</v>
      </c>
      <c r="F15" s="19">
        <v>1</v>
      </c>
      <c r="G15" s="19">
        <v>10</v>
      </c>
      <c r="H15" s="19">
        <v>2</v>
      </c>
      <c r="I15" s="19"/>
      <c r="J15" s="19">
        <v>199</v>
      </c>
      <c r="K15" s="19" t="str">
        <f t="shared" si="9"/>
        <v/>
      </c>
      <c r="L15" s="19">
        <v>0.08</v>
      </c>
      <c r="M15" s="19">
        <f t="shared" si="10"/>
        <v>0.16</v>
      </c>
      <c r="N15" s="19">
        <v>1.98</v>
      </c>
      <c r="O15" s="19">
        <v>0.23699999999999999</v>
      </c>
      <c r="P15" s="19">
        <v>0.104</v>
      </c>
      <c r="Q15" s="19">
        <f t="shared" si="11"/>
        <v>2278846.153846154</v>
      </c>
      <c r="R15" s="19">
        <v>7.1999999999999995E-2</v>
      </c>
      <c r="S15" s="19">
        <f t="shared" si="12"/>
        <v>2.4647999999999996E-2</v>
      </c>
      <c r="T15" s="19">
        <v>72</v>
      </c>
      <c r="U15" s="19">
        <f t="shared" si="13"/>
        <v>0.30901699437494745</v>
      </c>
      <c r="V15" s="19">
        <f t="shared" si="14"/>
        <v>7.631583096229526E-3</v>
      </c>
      <c r="W15" s="19">
        <f t="shared" si="15"/>
        <v>0.9523026056485655</v>
      </c>
      <c r="X15" s="19"/>
      <c r="Y15" s="19"/>
      <c r="Z15" s="19" t="str">
        <f t="shared" si="16"/>
        <v/>
      </c>
      <c r="AA15" s="19">
        <f t="shared" si="17"/>
        <v>2.4354409352352619</v>
      </c>
      <c r="AB15" s="19"/>
      <c r="AC15" s="19">
        <v>102</v>
      </c>
      <c r="AD15" s="19">
        <v>96</v>
      </c>
      <c r="AE15" s="19">
        <v>95</v>
      </c>
      <c r="AF15" s="19">
        <v>89</v>
      </c>
      <c r="AG15" s="19">
        <v>86</v>
      </c>
      <c r="AH15" s="19">
        <v>87</v>
      </c>
      <c r="AI15" s="19">
        <v>83</v>
      </c>
      <c r="AJ15" s="19">
        <v>75</v>
      </c>
      <c r="AK15" s="19">
        <v>65</v>
      </c>
      <c r="AL15" s="19">
        <v>62</v>
      </c>
      <c r="AM15" s="19">
        <v>24</v>
      </c>
      <c r="AN15" s="19" t="s">
        <v>55</v>
      </c>
      <c r="AO15" s="19">
        <v>0</v>
      </c>
      <c r="AP15" s="19"/>
      <c r="AQ15" s="19"/>
      <c r="AR15" s="19"/>
    </row>
    <row r="16" spans="1:44" x14ac:dyDescent="0.3">
      <c r="A16" s="19" t="s">
        <v>150</v>
      </c>
      <c r="B16" s="19">
        <v>3</v>
      </c>
      <c r="C16" s="19" t="s">
        <v>68</v>
      </c>
      <c r="D16" s="19">
        <v>3</v>
      </c>
      <c r="E16" s="19">
        <v>5</v>
      </c>
      <c r="F16" s="19">
        <v>1</v>
      </c>
      <c r="G16" s="19">
        <v>10</v>
      </c>
      <c r="H16" s="19">
        <v>3</v>
      </c>
      <c r="I16" s="19"/>
      <c r="J16" s="19">
        <v>355</v>
      </c>
      <c r="K16" s="19" t="str">
        <f t="shared" si="9"/>
        <v/>
      </c>
      <c r="L16" s="19">
        <v>0.08</v>
      </c>
      <c r="M16" s="19">
        <f t="shared" si="10"/>
        <v>0.24</v>
      </c>
      <c r="N16" s="19">
        <v>3.93</v>
      </c>
      <c r="O16" s="19">
        <v>0.45500000000000002</v>
      </c>
      <c r="P16" s="19">
        <v>0.16300000000000001</v>
      </c>
      <c r="Q16" s="19">
        <f t="shared" si="11"/>
        <v>2791411.0429447852</v>
      </c>
      <c r="R16" s="19">
        <v>0.151</v>
      </c>
      <c r="S16" s="19">
        <f t="shared" si="12"/>
        <v>7.4165000000000009E-2</v>
      </c>
      <c r="T16" s="19">
        <v>68</v>
      </c>
      <c r="U16" s="19">
        <f t="shared" si="13"/>
        <v>0.37460659341591218</v>
      </c>
      <c r="V16" s="19">
        <f t="shared" si="14"/>
        <v>2.7824066501101974E-2</v>
      </c>
      <c r="W16" s="19">
        <f t="shared" si="15"/>
        <v>0.88406638957874173</v>
      </c>
      <c r="X16" s="19"/>
      <c r="Y16" s="19"/>
      <c r="Z16" s="19" t="str">
        <f t="shared" si="16"/>
        <v/>
      </c>
      <c r="AA16" s="19">
        <f t="shared" si="17"/>
        <v>2.3258993864963835</v>
      </c>
      <c r="AB16" s="19"/>
      <c r="AC16" s="19">
        <v>162</v>
      </c>
      <c r="AD16" s="19">
        <v>151</v>
      </c>
      <c r="AE16" s="19">
        <v>150</v>
      </c>
      <c r="AF16" s="19">
        <v>142</v>
      </c>
      <c r="AG16" s="19">
        <v>135</v>
      </c>
      <c r="AH16" s="19">
        <v>133</v>
      </c>
      <c r="AI16" s="19">
        <v>116</v>
      </c>
      <c r="AJ16" s="19">
        <v>108</v>
      </c>
      <c r="AK16" s="19">
        <v>100</v>
      </c>
      <c r="AL16" s="19">
        <v>74</v>
      </c>
      <c r="AM16" s="19">
        <v>24</v>
      </c>
      <c r="AN16" s="19" t="s">
        <v>55</v>
      </c>
      <c r="AO16" s="19">
        <v>0</v>
      </c>
      <c r="AP16" s="19"/>
      <c r="AQ16" s="19"/>
      <c r="AR16" s="19"/>
    </row>
    <row r="17" spans="1:44" x14ac:dyDescent="0.3">
      <c r="A17" s="19" t="s">
        <v>150</v>
      </c>
      <c r="B17" s="19">
        <v>4</v>
      </c>
      <c r="C17" s="19" t="s">
        <v>68</v>
      </c>
      <c r="D17" s="19">
        <v>3</v>
      </c>
      <c r="E17" s="19">
        <v>5</v>
      </c>
      <c r="F17" s="19">
        <v>1</v>
      </c>
      <c r="G17" s="19">
        <v>10</v>
      </c>
      <c r="H17" s="19">
        <v>4</v>
      </c>
      <c r="I17" s="19"/>
      <c r="J17" s="19">
        <v>359</v>
      </c>
      <c r="K17" s="19" t="str">
        <f t="shared" si="9"/>
        <v/>
      </c>
      <c r="L17" s="19">
        <v>0.09</v>
      </c>
      <c r="M17" s="19">
        <f t="shared" si="10"/>
        <v>0.36</v>
      </c>
      <c r="N17" s="19">
        <v>3.95</v>
      </c>
      <c r="O17" s="19">
        <v>0.45700000000000002</v>
      </c>
      <c r="P17" s="19">
        <v>0.16400000000000001</v>
      </c>
      <c r="Q17" s="19">
        <f t="shared" si="11"/>
        <v>2786585.3658536584</v>
      </c>
      <c r="R17" s="19">
        <v>0.153</v>
      </c>
      <c r="S17" s="19">
        <f t="shared" si="12"/>
        <v>7.4948000000000001E-2</v>
      </c>
      <c r="T17" s="19">
        <v>68</v>
      </c>
      <c r="U17" s="19">
        <f t="shared" si="13"/>
        <v>0.37460659341591218</v>
      </c>
      <c r="V17" s="19">
        <f t="shared" si="14"/>
        <v>2.8117820213370059E-2</v>
      </c>
      <c r="W17" s="19">
        <f t="shared" si="15"/>
        <v>0.92189494385174986</v>
      </c>
      <c r="X17" s="19"/>
      <c r="Y17" s="19"/>
      <c r="Z17" s="19" t="str">
        <f t="shared" si="16"/>
        <v/>
      </c>
      <c r="AA17" s="19">
        <f t="shared" si="17"/>
        <v>2.3121668846515684</v>
      </c>
      <c r="AB17" s="19"/>
      <c r="AC17" s="19">
        <v>165</v>
      </c>
      <c r="AD17" s="19">
        <v>154</v>
      </c>
      <c r="AE17" s="19">
        <v>154</v>
      </c>
      <c r="AF17" s="19">
        <v>143</v>
      </c>
      <c r="AG17" s="19">
        <v>136</v>
      </c>
      <c r="AH17" s="19">
        <v>134</v>
      </c>
      <c r="AI17" s="19">
        <v>119</v>
      </c>
      <c r="AJ17" s="19">
        <v>105</v>
      </c>
      <c r="AK17" s="19">
        <v>102</v>
      </c>
      <c r="AL17" s="19">
        <v>75</v>
      </c>
      <c r="AM17" s="19">
        <v>25</v>
      </c>
      <c r="AN17" s="19" t="s">
        <v>55</v>
      </c>
      <c r="AO17" s="19">
        <v>0</v>
      </c>
      <c r="AP17" s="19"/>
      <c r="AQ17" s="19"/>
      <c r="AR17" s="19"/>
    </row>
    <row r="18" spans="1:44" x14ac:dyDescent="0.3">
      <c r="A18" s="19" t="s">
        <v>150</v>
      </c>
      <c r="B18" s="19">
        <v>5</v>
      </c>
      <c r="C18" s="19" t="s">
        <v>68</v>
      </c>
      <c r="D18" s="19">
        <v>3</v>
      </c>
      <c r="E18" s="19">
        <v>5</v>
      </c>
      <c r="F18" s="19">
        <v>1</v>
      </c>
      <c r="G18" s="19">
        <v>10</v>
      </c>
      <c r="H18" s="19">
        <v>5</v>
      </c>
      <c r="I18" s="19"/>
      <c r="J18" s="19">
        <v>371</v>
      </c>
      <c r="K18" s="19" t="str">
        <f t="shared" si="9"/>
        <v/>
      </c>
      <c r="L18" s="19">
        <v>0.09</v>
      </c>
      <c r="M18" s="19">
        <f t="shared" si="10"/>
        <v>0.44999999999999996</v>
      </c>
      <c r="N18" s="19">
        <v>3.98</v>
      </c>
      <c r="O18" s="19">
        <v>0.46400000000000002</v>
      </c>
      <c r="P18" s="19">
        <v>0.16900000000000001</v>
      </c>
      <c r="Q18" s="19">
        <f t="shared" si="11"/>
        <v>2745562.1301775146</v>
      </c>
      <c r="R18" s="19">
        <v>0.16</v>
      </c>
      <c r="S18" s="19">
        <f t="shared" si="12"/>
        <v>7.8416000000000013E-2</v>
      </c>
      <c r="T18" s="19">
        <v>68</v>
      </c>
      <c r="U18" s="19">
        <f t="shared" si="13"/>
        <v>0.37460659341591218</v>
      </c>
      <c r="V18" s="19">
        <f t="shared" si="14"/>
        <v>2.9418890295293099E-2</v>
      </c>
      <c r="W18" s="19">
        <f t="shared" si="15"/>
        <v>0.93462468823268197</v>
      </c>
      <c r="X18" s="19"/>
      <c r="Y18" s="19"/>
      <c r="Z18" s="19" t="str">
        <f t="shared" si="16"/>
        <v/>
      </c>
      <c r="AA18" s="19">
        <f t="shared" si="17"/>
        <v>2.3356952909956288</v>
      </c>
      <c r="AB18" s="19"/>
      <c r="AC18" s="19">
        <v>166</v>
      </c>
      <c r="AD18" s="19">
        <v>157</v>
      </c>
      <c r="AE18" s="19">
        <v>156</v>
      </c>
      <c r="AF18" s="19">
        <v>145</v>
      </c>
      <c r="AG18" s="19">
        <v>139</v>
      </c>
      <c r="AH18" s="19">
        <v>135</v>
      </c>
      <c r="AI18" s="19">
        <v>121</v>
      </c>
      <c r="AJ18" s="19">
        <v>105</v>
      </c>
      <c r="AK18" s="19">
        <v>105</v>
      </c>
      <c r="AL18" s="19">
        <v>78</v>
      </c>
      <c r="AM18" s="19">
        <v>25</v>
      </c>
      <c r="AN18" s="19" t="s">
        <v>55</v>
      </c>
      <c r="AO18" s="19">
        <v>0</v>
      </c>
      <c r="AP18" s="19"/>
      <c r="AQ18" s="19"/>
      <c r="AR18" s="19"/>
    </row>
    <row r="19" spans="1:44" x14ac:dyDescent="0.3">
      <c r="A19" s="19" t="s">
        <v>150</v>
      </c>
      <c r="B19" s="19">
        <v>6</v>
      </c>
      <c r="C19" s="19" t="s">
        <v>68</v>
      </c>
      <c r="D19" s="19">
        <v>3</v>
      </c>
      <c r="E19" s="19">
        <v>5</v>
      </c>
      <c r="F19" s="19">
        <v>1</v>
      </c>
      <c r="G19" s="19">
        <v>10</v>
      </c>
      <c r="H19" s="19">
        <v>10</v>
      </c>
      <c r="I19" s="19"/>
      <c r="J19" s="19">
        <v>566</v>
      </c>
      <c r="K19" s="19" t="str">
        <f t="shared" si="9"/>
        <v/>
      </c>
      <c r="L19" s="19">
        <v>0.09</v>
      </c>
      <c r="M19" s="19">
        <f t="shared" si="10"/>
        <v>0.89999999999999991</v>
      </c>
      <c r="N19" s="19">
        <v>4.4800000000000004</v>
      </c>
      <c r="O19" s="19">
        <v>0.52</v>
      </c>
      <c r="P19" s="19">
        <v>0.22700000000000001</v>
      </c>
      <c r="Q19" s="19">
        <f t="shared" si="11"/>
        <v>2290748.8986784141</v>
      </c>
      <c r="R19" s="19">
        <v>0.222</v>
      </c>
      <c r="S19" s="19">
        <f t="shared" si="12"/>
        <v>0.11804000000000001</v>
      </c>
      <c r="T19" s="19">
        <v>72</v>
      </c>
      <c r="U19" s="19">
        <f t="shared" si="13"/>
        <v>0.30901699437494745</v>
      </c>
      <c r="V19" s="19">
        <f t="shared" si="14"/>
        <v>3.6547876853251116E-2</v>
      </c>
      <c r="W19" s="19">
        <f t="shared" si="15"/>
        <v>0.95939124794083208</v>
      </c>
      <c r="X19" s="19"/>
      <c r="Y19" s="19"/>
      <c r="Z19" s="19" t="str">
        <f t="shared" si="16"/>
        <v/>
      </c>
      <c r="AA19" s="19" t="str">
        <f t="shared" si="17"/>
        <v/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x14ac:dyDescent="0.3">
      <c r="A20" s="19" t="s">
        <v>150</v>
      </c>
      <c r="B20" s="19">
        <v>7</v>
      </c>
      <c r="C20" s="19" t="s">
        <v>68</v>
      </c>
      <c r="D20" s="19">
        <v>3</v>
      </c>
      <c r="E20" s="19">
        <v>5</v>
      </c>
      <c r="F20" s="19">
        <v>1</v>
      </c>
      <c r="G20" s="19">
        <v>10</v>
      </c>
      <c r="H20" s="19">
        <v>15</v>
      </c>
      <c r="I20" s="19"/>
      <c r="J20" s="19">
        <v>566</v>
      </c>
      <c r="K20" s="19" t="str">
        <f t="shared" si="9"/>
        <v/>
      </c>
      <c r="L20" s="19">
        <v>0.1</v>
      </c>
      <c r="M20" s="19">
        <f t="shared" si="10"/>
        <v>1.5</v>
      </c>
      <c r="N20" s="19">
        <v>4.67</v>
      </c>
      <c r="O20" s="19">
        <v>0.53100000000000003</v>
      </c>
      <c r="P20" s="19">
        <v>0.22900000000000001</v>
      </c>
      <c r="Q20" s="19">
        <f t="shared" si="11"/>
        <v>2318777.2925764192</v>
      </c>
      <c r="R20" s="19">
        <v>0.24099999999999999</v>
      </c>
      <c r="S20" s="19">
        <f t="shared" si="12"/>
        <v>0.12159900000000001</v>
      </c>
      <c r="T20" s="19">
        <v>68.5</v>
      </c>
      <c r="U20" s="19">
        <f t="shared" si="13"/>
        <v>0.3665012267242973</v>
      </c>
      <c r="V20" s="19">
        <f t="shared" si="14"/>
        <v>4.4634746554406662E-2</v>
      </c>
      <c r="W20" s="19">
        <f t="shared" si="15"/>
        <v>0.97024350229706224</v>
      </c>
      <c r="X20" s="19"/>
      <c r="Y20" s="19"/>
      <c r="Z20" s="19" t="str">
        <f t="shared" si="16"/>
        <v/>
      </c>
      <c r="AA20" s="19" t="str">
        <f t="shared" si="17"/>
        <v/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x14ac:dyDescent="0.3">
      <c r="A21" s="19" t="s">
        <v>150</v>
      </c>
      <c r="B21" s="19">
        <v>8</v>
      </c>
      <c r="C21" s="19" t="s">
        <v>68</v>
      </c>
      <c r="D21" s="19">
        <v>3</v>
      </c>
      <c r="E21" s="19">
        <v>5</v>
      </c>
      <c r="F21" s="19">
        <v>1</v>
      </c>
      <c r="G21" s="19">
        <v>10</v>
      </c>
      <c r="H21" s="19">
        <v>20</v>
      </c>
      <c r="I21" s="19"/>
      <c r="J21" s="19">
        <v>582</v>
      </c>
      <c r="K21" s="19" t="str">
        <f t="shared" si="9"/>
        <v/>
      </c>
      <c r="L21" s="19">
        <v>0.1</v>
      </c>
      <c r="M21" s="19">
        <f t="shared" si="10"/>
        <v>2</v>
      </c>
      <c r="N21" s="19">
        <v>4.75</v>
      </c>
      <c r="O21" s="19">
        <v>0.53900000000000003</v>
      </c>
      <c r="P21" s="19">
        <v>0.23799999999999999</v>
      </c>
      <c r="Q21" s="19">
        <f t="shared" si="11"/>
        <v>2264705.8823529417</v>
      </c>
      <c r="R21" s="19">
        <v>0.25600000000000001</v>
      </c>
      <c r="S21" s="19">
        <f t="shared" si="12"/>
        <v>0.12828200000000001</v>
      </c>
      <c r="T21" s="19">
        <v>68.5</v>
      </c>
      <c r="U21" s="19">
        <f t="shared" si="13"/>
        <v>0.3665012267242973</v>
      </c>
      <c r="V21" s="19">
        <f t="shared" si="14"/>
        <v>4.7087842478082842E-2</v>
      </c>
      <c r="W21" s="19">
        <f t="shared" si="15"/>
        <v>0.97645607876095863</v>
      </c>
      <c r="X21" s="19"/>
      <c r="Y21" s="19"/>
      <c r="Z21" s="19" t="str">
        <f t="shared" si="16"/>
        <v/>
      </c>
      <c r="AA21" s="19" t="str">
        <f t="shared" si="17"/>
        <v/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8" customHeight="1" x14ac:dyDescent="0.3">
      <c r="A22" s="59" t="s">
        <v>176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</row>
    <row r="23" spans="1:44" x14ac:dyDescent="0.3">
      <c r="A23" s="19" t="s">
        <v>156</v>
      </c>
      <c r="B23" s="19">
        <v>1</v>
      </c>
      <c r="C23" s="19" t="s">
        <v>53</v>
      </c>
      <c r="D23" s="19">
        <v>3</v>
      </c>
      <c r="E23" s="19">
        <v>5</v>
      </c>
      <c r="F23" s="19"/>
      <c r="G23" s="19">
        <v>50</v>
      </c>
      <c r="H23" s="19">
        <v>1</v>
      </c>
      <c r="I23" s="19"/>
      <c r="J23" s="19">
        <v>80</v>
      </c>
      <c r="K23" s="19" t="str">
        <f t="shared" ref="K23:K31" si="18">IF(COUNT(J23,I23)=0,"",IFERROR(J23/1000/I23,""))</f>
        <v/>
      </c>
      <c r="L23" s="19">
        <v>0.09</v>
      </c>
      <c r="M23" s="19">
        <f t="shared" ref="M23:M31" si="19">IF(COUNT(H23,L23)=0,"",IFERROR(H23*L23,""))</f>
        <v>0.09</v>
      </c>
      <c r="N23" s="19">
        <v>1.77</v>
      </c>
      <c r="O23" s="19">
        <v>0.624</v>
      </c>
      <c r="P23" s="19">
        <v>0.219</v>
      </c>
      <c r="Q23" s="19">
        <f t="shared" ref="Q23:Q31" si="20">IF(COUNT(O23,P23)=0,"",IFERROR(O23*1000/P23*1000,""))</f>
        <v>2849315.0684931506</v>
      </c>
      <c r="R23" s="19">
        <v>0.11799999999999999</v>
      </c>
      <c r="S23" s="19">
        <f t="shared" ref="S23:S31" si="21">IF(COUNT(O23,P23)=0,"",IFERROR(O23*P23,""))</f>
        <v>0.136656</v>
      </c>
      <c r="T23" s="19">
        <v>66.8</v>
      </c>
      <c r="U23" s="19">
        <f t="shared" ref="U23:U31" si="22">IF(COUNT(T23)=0,"",IFERROR(COS(T23/180*PI()),""))</f>
        <v>0.3939419095909511</v>
      </c>
      <c r="V23" s="19">
        <f t="shared" ref="V23:V31" si="23">IF(COUNT(S23,T23)=0,"",IFERROR(S23*COS(T23/360*2*3.14),""))</f>
        <v>5.3908755418093077E-2</v>
      </c>
      <c r="W23" s="19">
        <f t="shared" ref="W23:W31" si="24">IF(COUNT(V23,M23)=0,"",IFERROR(1-V23/M23,""))</f>
        <v>0.40101382868785473</v>
      </c>
      <c r="X23" s="19"/>
      <c r="Y23" s="19"/>
      <c r="Z23" s="19" t="str">
        <f t="shared" ref="Z23:Z31" si="25">IFERROR(IF(OR(V23="",X23="",X23=0),"",(V23-X23)/X23*100),"")</f>
        <v/>
      </c>
      <c r="AA23" s="19">
        <f t="shared" ref="AA23:AA31" si="26">IF(COUNT(AD23,AE23,AF23,AG23,AH23,AI23,AJ23,AK23,AL23,AC23)=0,"",IFERROR(SQRT(AD23^2+AE23^2+AF23^2+AG23^2+AH23^2+AI23^2+AJ23^2+AK23^2+AL23^2)/AC23,""))</f>
        <v>0.18427253168506441</v>
      </c>
      <c r="AB23" s="19" t="s">
        <v>167</v>
      </c>
      <c r="AC23" s="19">
        <v>606</v>
      </c>
      <c r="AD23" s="19">
        <v>96</v>
      </c>
      <c r="AE23" s="19">
        <v>54</v>
      </c>
      <c r="AF23" s="19">
        <v>13</v>
      </c>
      <c r="AG23" s="19">
        <v>13</v>
      </c>
      <c r="AH23" s="19"/>
      <c r="AI23" s="19"/>
      <c r="AJ23" s="19"/>
      <c r="AK23" s="19"/>
      <c r="AL23" s="19"/>
      <c r="AM23" s="19">
        <v>24</v>
      </c>
      <c r="AN23" s="19" t="s">
        <v>55</v>
      </c>
      <c r="AO23" s="19">
        <v>0</v>
      </c>
      <c r="AP23" s="19"/>
      <c r="AQ23" s="19"/>
      <c r="AR23" s="19"/>
    </row>
    <row r="24" spans="1:44" x14ac:dyDescent="0.3">
      <c r="A24" s="19" t="s">
        <v>156</v>
      </c>
      <c r="B24" s="19">
        <v>2</v>
      </c>
      <c r="C24" s="19" t="s">
        <v>53</v>
      </c>
      <c r="D24" s="19">
        <v>3</v>
      </c>
      <c r="E24" s="19">
        <v>5</v>
      </c>
      <c r="F24" s="19"/>
      <c r="G24" s="19">
        <v>50</v>
      </c>
      <c r="H24" s="19">
        <v>2</v>
      </c>
      <c r="I24" s="19"/>
      <c r="J24" s="19">
        <v>140</v>
      </c>
      <c r="K24" s="19" t="str">
        <f t="shared" si="18"/>
        <v/>
      </c>
      <c r="L24" s="19">
        <v>0.1</v>
      </c>
      <c r="M24" s="19">
        <f t="shared" si="19"/>
        <v>0.2</v>
      </c>
      <c r="N24" s="19">
        <v>3.24</v>
      </c>
      <c r="O24" s="19">
        <v>1.1659999999999999</v>
      </c>
      <c r="P24" s="19">
        <v>0.34100000000000003</v>
      </c>
      <c r="Q24" s="19">
        <f t="shared" si="20"/>
        <v>3419354.8387096771</v>
      </c>
      <c r="R24" s="19">
        <v>0.23599999999999999</v>
      </c>
      <c r="S24" s="19">
        <f t="shared" si="21"/>
        <v>0.39760600000000001</v>
      </c>
      <c r="T24" s="19">
        <v>67.7</v>
      </c>
      <c r="U24" s="19">
        <f t="shared" si="22"/>
        <v>0.37945615952900513</v>
      </c>
      <c r="V24" s="19">
        <f t="shared" si="23"/>
        <v>0.15109437758836136</v>
      </c>
      <c r="W24" s="19">
        <f t="shared" si="24"/>
        <v>0.24452811205819325</v>
      </c>
      <c r="X24" s="19"/>
      <c r="Y24" s="19"/>
      <c r="Z24" s="19" t="str">
        <f t="shared" si="25"/>
        <v/>
      </c>
      <c r="AA24" s="19">
        <f t="shared" si="26"/>
        <v>9.715450033821478E-2</v>
      </c>
      <c r="AB24" s="19" t="s">
        <v>168</v>
      </c>
      <c r="AC24" s="19">
        <v>1142</v>
      </c>
      <c r="AD24" s="19">
        <v>101</v>
      </c>
      <c r="AE24" s="19">
        <v>42</v>
      </c>
      <c r="AF24" s="19">
        <v>14</v>
      </c>
      <c r="AG24" s="19">
        <v>10</v>
      </c>
      <c r="AH24" s="19">
        <v>7</v>
      </c>
      <c r="AI24" s="19"/>
      <c r="AJ24" s="19"/>
      <c r="AK24" s="19"/>
      <c r="AL24" s="19"/>
      <c r="AM24" s="19">
        <v>24</v>
      </c>
      <c r="AN24" s="19" t="s">
        <v>55</v>
      </c>
      <c r="AO24" s="19">
        <v>0</v>
      </c>
      <c r="AP24" s="19"/>
      <c r="AQ24" s="19"/>
      <c r="AR24" s="19"/>
    </row>
    <row r="25" spans="1:44" x14ac:dyDescent="0.3">
      <c r="A25" s="19" t="s">
        <v>156</v>
      </c>
      <c r="B25" s="19">
        <v>3</v>
      </c>
      <c r="C25" s="19" t="s">
        <v>53</v>
      </c>
      <c r="D25" s="19">
        <v>3</v>
      </c>
      <c r="E25" s="19">
        <v>5</v>
      </c>
      <c r="F25" s="19"/>
      <c r="G25" s="19">
        <v>50</v>
      </c>
      <c r="H25" s="19">
        <v>3</v>
      </c>
      <c r="I25" s="19"/>
      <c r="J25" s="19">
        <v>95</v>
      </c>
      <c r="K25" s="19" t="str">
        <f t="shared" si="18"/>
        <v/>
      </c>
      <c r="L25" s="19">
        <v>0.13</v>
      </c>
      <c r="M25" s="19">
        <f t="shared" si="19"/>
        <v>0.39</v>
      </c>
      <c r="N25" s="19">
        <v>3.86</v>
      </c>
      <c r="O25" s="19">
        <v>1.4</v>
      </c>
      <c r="P25" s="19">
        <v>0.46899999999999997</v>
      </c>
      <c r="Q25" s="19">
        <f t="shared" si="20"/>
        <v>2985074.6268656715</v>
      </c>
      <c r="R25" s="19">
        <v>0.59299999999999997</v>
      </c>
      <c r="S25" s="19">
        <f t="shared" si="21"/>
        <v>0.65659999999999996</v>
      </c>
      <c r="T25" s="19">
        <v>64.7</v>
      </c>
      <c r="U25" s="19">
        <f t="shared" si="22"/>
        <v>0.4273578633871925</v>
      </c>
      <c r="V25" s="19">
        <f t="shared" si="23"/>
        <v>0.28094295737535063</v>
      </c>
      <c r="W25" s="19">
        <f t="shared" si="24"/>
        <v>0.27963344262730605</v>
      </c>
      <c r="X25" s="19"/>
      <c r="Y25" s="19"/>
      <c r="Z25" s="19" t="str">
        <f t="shared" si="25"/>
        <v/>
      </c>
      <c r="AA25" s="19">
        <f t="shared" si="26"/>
        <v>8.3583543485279244E-2</v>
      </c>
      <c r="AB25" s="19" t="s">
        <v>168</v>
      </c>
      <c r="AC25" s="19">
        <v>1378</v>
      </c>
      <c r="AD25" s="19">
        <v>98</v>
      </c>
      <c r="AE25" s="19">
        <v>55</v>
      </c>
      <c r="AF25" s="19">
        <v>22</v>
      </c>
      <c r="AG25" s="19">
        <v>9</v>
      </c>
      <c r="AH25" s="19">
        <v>6</v>
      </c>
      <c r="AI25" s="19">
        <v>6</v>
      </c>
      <c r="AJ25" s="19"/>
      <c r="AK25" s="19"/>
      <c r="AL25" s="19"/>
      <c r="AM25" s="19">
        <v>25</v>
      </c>
      <c r="AN25" s="19" t="s">
        <v>55</v>
      </c>
      <c r="AO25" s="19">
        <v>0</v>
      </c>
      <c r="AP25" s="19"/>
      <c r="AQ25" s="19"/>
      <c r="AR25" s="19"/>
    </row>
    <row r="26" spans="1:44" x14ac:dyDescent="0.3">
      <c r="A26" s="19" t="s">
        <v>156</v>
      </c>
      <c r="B26" s="19">
        <v>4</v>
      </c>
      <c r="C26" s="19" t="s">
        <v>53</v>
      </c>
      <c r="D26" s="19">
        <v>3</v>
      </c>
      <c r="E26" s="19">
        <v>5</v>
      </c>
      <c r="F26" s="19"/>
      <c r="G26" s="19">
        <v>50</v>
      </c>
      <c r="H26" s="19">
        <v>4</v>
      </c>
      <c r="I26" s="19"/>
      <c r="J26" s="19">
        <v>115</v>
      </c>
      <c r="K26" s="19" t="str">
        <f t="shared" si="18"/>
        <v/>
      </c>
      <c r="L26" s="19">
        <v>0.16</v>
      </c>
      <c r="M26" s="19">
        <f t="shared" si="19"/>
        <v>0.64</v>
      </c>
      <c r="N26" s="19">
        <v>4.01</v>
      </c>
      <c r="O26" s="19">
        <v>1.45</v>
      </c>
      <c r="P26" s="19">
        <v>0.51600000000000001</v>
      </c>
      <c r="Q26" s="19">
        <f t="shared" si="20"/>
        <v>2810077.5193798449</v>
      </c>
      <c r="R26" s="19">
        <v>0.7</v>
      </c>
      <c r="S26" s="19">
        <f t="shared" si="21"/>
        <v>0.74819999999999998</v>
      </c>
      <c r="T26" s="19">
        <v>65.599999999999994</v>
      </c>
      <c r="U26" s="19">
        <f t="shared" si="22"/>
        <v>0.41310442982454193</v>
      </c>
      <c r="V26" s="19">
        <f t="shared" si="23"/>
        <v>0.30948017449300402</v>
      </c>
      <c r="W26" s="19">
        <f t="shared" si="24"/>
        <v>0.51643722735468123</v>
      </c>
      <c r="X26" s="19"/>
      <c r="Y26" s="19"/>
      <c r="Z26" s="19" t="str">
        <f t="shared" si="25"/>
        <v/>
      </c>
      <c r="AA26" s="19">
        <f t="shared" si="26"/>
        <v>8.400811866939982E-2</v>
      </c>
      <c r="AB26" s="19" t="s">
        <v>168</v>
      </c>
      <c r="AC26" s="19">
        <v>1432</v>
      </c>
      <c r="AD26" s="19">
        <v>99</v>
      </c>
      <c r="AE26" s="19">
        <v>60</v>
      </c>
      <c r="AF26" s="19">
        <v>28</v>
      </c>
      <c r="AG26" s="19">
        <v>9</v>
      </c>
      <c r="AH26" s="19">
        <v>9</v>
      </c>
      <c r="AI26" s="19">
        <v>8</v>
      </c>
      <c r="AJ26" s="19">
        <v>6</v>
      </c>
      <c r="AK26" s="19">
        <v>5</v>
      </c>
      <c r="AL26" s="19"/>
      <c r="AM26" s="19">
        <v>26</v>
      </c>
      <c r="AN26" s="19" t="s">
        <v>55</v>
      </c>
      <c r="AO26" s="19">
        <v>1</v>
      </c>
      <c r="AP26" s="19" t="s">
        <v>169</v>
      </c>
      <c r="AQ26" s="19"/>
      <c r="AR26" s="19"/>
    </row>
    <row r="27" spans="1:44" x14ac:dyDescent="0.3">
      <c r="A27" s="19" t="s">
        <v>156</v>
      </c>
      <c r="B27" s="19">
        <v>5</v>
      </c>
      <c r="C27" s="19" t="s">
        <v>53</v>
      </c>
      <c r="D27" s="19">
        <v>3</v>
      </c>
      <c r="E27" s="19">
        <v>5</v>
      </c>
      <c r="F27" s="19"/>
      <c r="G27" s="19">
        <v>50</v>
      </c>
      <c r="H27" s="19">
        <v>5</v>
      </c>
      <c r="I27" s="19"/>
      <c r="J27" s="19">
        <v>127</v>
      </c>
      <c r="K27" s="19" t="str">
        <f t="shared" si="18"/>
        <v/>
      </c>
      <c r="L27" s="19">
        <v>0.21</v>
      </c>
      <c r="M27" s="19">
        <f t="shared" si="19"/>
        <v>1.05</v>
      </c>
      <c r="N27" s="19">
        <v>4.13</v>
      </c>
      <c r="O27" s="19">
        <v>1.48</v>
      </c>
      <c r="P27" s="19">
        <v>0.55800000000000005</v>
      </c>
      <c r="Q27" s="19">
        <f t="shared" si="20"/>
        <v>2652329.7491039424</v>
      </c>
      <c r="R27" s="19">
        <v>0.78</v>
      </c>
      <c r="S27" s="19">
        <f t="shared" si="21"/>
        <v>0.82584000000000002</v>
      </c>
      <c r="T27" s="19">
        <v>67</v>
      </c>
      <c r="U27" s="19">
        <f t="shared" si="22"/>
        <v>0.39073112848927372</v>
      </c>
      <c r="V27" s="19">
        <f t="shared" si="23"/>
        <v>0.32313199490338668</v>
      </c>
      <c r="W27" s="19">
        <f t="shared" si="24"/>
        <v>0.69225524294915552</v>
      </c>
      <c r="X27" s="19"/>
      <c r="Y27" s="19"/>
      <c r="Z27" s="19" t="str">
        <f t="shared" si="25"/>
        <v/>
      </c>
      <c r="AA27" s="19">
        <f t="shared" si="26"/>
        <v>8.3921379232951496E-2</v>
      </c>
      <c r="AB27" s="19" t="s">
        <v>168</v>
      </c>
      <c r="AC27" s="19">
        <v>1461</v>
      </c>
      <c r="AD27" s="19">
        <v>100</v>
      </c>
      <c r="AE27" s="19">
        <v>61</v>
      </c>
      <c r="AF27" s="19">
        <v>31</v>
      </c>
      <c r="AG27" s="19">
        <v>11</v>
      </c>
      <c r="AH27" s="19">
        <v>9</v>
      </c>
      <c r="AI27" s="19">
        <v>8</v>
      </c>
      <c r="AJ27" s="19">
        <v>7</v>
      </c>
      <c r="AK27" s="19">
        <v>6</v>
      </c>
      <c r="AL27" s="19"/>
      <c r="AM27" s="19">
        <v>27</v>
      </c>
      <c r="AN27" s="19" t="s">
        <v>55</v>
      </c>
      <c r="AO27" s="19">
        <v>1</v>
      </c>
      <c r="AP27" s="19"/>
      <c r="AQ27" s="19" t="s">
        <v>70</v>
      </c>
      <c r="AR27" s="19" t="s">
        <v>177</v>
      </c>
    </row>
    <row r="28" spans="1:44" x14ac:dyDescent="0.3">
      <c r="A28" s="19" t="s">
        <v>156</v>
      </c>
      <c r="B28" s="19">
        <v>6</v>
      </c>
      <c r="C28" s="19" t="s">
        <v>53</v>
      </c>
      <c r="D28" s="19">
        <v>3</v>
      </c>
      <c r="E28" s="19">
        <v>5</v>
      </c>
      <c r="F28" s="19"/>
      <c r="G28" s="19">
        <v>50</v>
      </c>
      <c r="H28" s="19">
        <v>6</v>
      </c>
      <c r="I28" s="19"/>
      <c r="J28" s="19">
        <v>151</v>
      </c>
      <c r="K28" s="19" t="str">
        <f t="shared" si="18"/>
        <v/>
      </c>
      <c r="L28" s="19">
        <v>0.26</v>
      </c>
      <c r="M28" s="19">
        <f t="shared" si="19"/>
        <v>1.56</v>
      </c>
      <c r="N28" s="19">
        <v>4.21</v>
      </c>
      <c r="O28" s="19">
        <v>1.51</v>
      </c>
      <c r="P28" s="19">
        <v>0.60299999999999998</v>
      </c>
      <c r="Q28" s="19">
        <f t="shared" si="20"/>
        <v>2504145.9369817581</v>
      </c>
      <c r="R28" s="19">
        <v>0.86</v>
      </c>
      <c r="S28" s="19">
        <f t="shared" si="21"/>
        <v>0.91052999999999995</v>
      </c>
      <c r="T28" s="19">
        <v>70.599999999999994</v>
      </c>
      <c r="U28" s="19">
        <f t="shared" si="22"/>
        <v>0.33216113188370339</v>
      </c>
      <c r="V28" s="19">
        <f t="shared" si="23"/>
        <v>0.30297910683157164</v>
      </c>
      <c r="W28" s="19">
        <f t="shared" si="24"/>
        <v>0.80578262382591559</v>
      </c>
      <c r="X28" s="19"/>
      <c r="Y28" s="19"/>
      <c r="Z28" s="19" t="str">
        <f t="shared" si="25"/>
        <v/>
      </c>
      <c r="AA28" s="19">
        <f t="shared" si="26"/>
        <v>4.7736470463591869E-2</v>
      </c>
      <c r="AB28" s="19" t="s">
        <v>168</v>
      </c>
      <c r="AC28" s="19">
        <v>1409</v>
      </c>
      <c r="AD28" s="19">
        <v>65</v>
      </c>
      <c r="AE28" s="19">
        <v>13</v>
      </c>
      <c r="AF28" s="19">
        <v>9</v>
      </c>
      <c r="AG28" s="19">
        <v>7</v>
      </c>
      <c r="AH28" s="19"/>
      <c r="AI28" s="19"/>
      <c r="AJ28" s="19"/>
      <c r="AK28" s="19"/>
      <c r="AL28" s="19"/>
      <c r="AM28" s="19">
        <v>29</v>
      </c>
      <c r="AN28" s="19" t="s">
        <v>55</v>
      </c>
      <c r="AO28" s="19">
        <v>1</v>
      </c>
      <c r="AP28" s="19"/>
      <c r="AQ28" s="19"/>
      <c r="AR28" s="19"/>
    </row>
    <row r="29" spans="1:44" x14ac:dyDescent="0.3">
      <c r="A29" s="19" t="s">
        <v>156</v>
      </c>
      <c r="B29" s="19">
        <v>7</v>
      </c>
      <c r="C29" s="19" t="s">
        <v>53</v>
      </c>
      <c r="D29" s="19">
        <v>3</v>
      </c>
      <c r="E29" s="19">
        <v>5</v>
      </c>
      <c r="F29" s="19"/>
      <c r="G29" s="19">
        <v>50</v>
      </c>
      <c r="H29" s="19">
        <v>8</v>
      </c>
      <c r="I29" s="19"/>
      <c r="J29" s="19">
        <v>159</v>
      </c>
      <c r="K29" s="19" t="str">
        <f t="shared" si="18"/>
        <v/>
      </c>
      <c r="L29" s="19">
        <v>0.31</v>
      </c>
      <c r="M29" s="19">
        <f t="shared" si="19"/>
        <v>2.48</v>
      </c>
      <c r="N29" s="19">
        <v>4.3899999999999997</v>
      </c>
      <c r="O29" s="19">
        <v>1.56</v>
      </c>
      <c r="P29" s="19">
        <v>0.71199999999999997</v>
      </c>
      <c r="Q29" s="19">
        <f t="shared" si="20"/>
        <v>2191011.2359550563</v>
      </c>
      <c r="R29" s="19">
        <v>1.07</v>
      </c>
      <c r="S29" s="19">
        <f t="shared" si="21"/>
        <v>1.1107199999999999</v>
      </c>
      <c r="T29" s="19">
        <v>72</v>
      </c>
      <c r="U29" s="19">
        <f t="shared" si="22"/>
        <v>0.30901699437494745</v>
      </c>
      <c r="V29" s="19">
        <f t="shared" si="23"/>
        <v>0.34390425091869764</v>
      </c>
      <c r="W29" s="19">
        <f t="shared" si="24"/>
        <v>0.86132893108117026</v>
      </c>
      <c r="X29" s="19"/>
      <c r="Y29" s="19"/>
      <c r="Z29" s="19" t="str">
        <f t="shared" si="25"/>
        <v/>
      </c>
      <c r="AA29" s="19">
        <f t="shared" si="26"/>
        <v>4.9250932443815558E-2</v>
      </c>
      <c r="AB29" s="19" t="s">
        <v>168</v>
      </c>
      <c r="AC29" s="19">
        <v>1465</v>
      </c>
      <c r="AD29" s="19">
        <v>69</v>
      </c>
      <c r="AE29" s="19">
        <v>18</v>
      </c>
      <c r="AF29" s="19">
        <v>11</v>
      </c>
      <c r="AG29" s="19"/>
      <c r="AH29" s="19"/>
      <c r="AI29" s="19"/>
      <c r="AJ29" s="19"/>
      <c r="AK29" s="19"/>
      <c r="AL29" s="19"/>
      <c r="AM29" s="19">
        <v>38</v>
      </c>
      <c r="AN29" s="19" t="s">
        <v>55</v>
      </c>
      <c r="AO29" s="19">
        <v>1</v>
      </c>
      <c r="AP29" s="19"/>
      <c r="AQ29" s="19"/>
      <c r="AR29" s="19"/>
    </row>
    <row r="30" spans="1:44" x14ac:dyDescent="0.3">
      <c r="A30" s="19" t="s">
        <v>156</v>
      </c>
      <c r="B30" s="19">
        <v>8</v>
      </c>
      <c r="C30" s="19" t="s">
        <v>53</v>
      </c>
      <c r="D30" s="19">
        <v>3</v>
      </c>
      <c r="E30" s="19">
        <v>5</v>
      </c>
      <c r="F30" s="19"/>
      <c r="G30" s="19">
        <v>50</v>
      </c>
      <c r="H30" s="19">
        <v>9</v>
      </c>
      <c r="I30" s="19"/>
      <c r="J30" s="19">
        <v>853</v>
      </c>
      <c r="K30" s="19" t="str">
        <f t="shared" si="18"/>
        <v/>
      </c>
      <c r="L30" s="19">
        <v>2.2000000000000002</v>
      </c>
      <c r="M30" s="19">
        <f t="shared" si="19"/>
        <v>19.8</v>
      </c>
      <c r="N30" s="19">
        <v>9.18</v>
      </c>
      <c r="O30" s="19">
        <v>3.11</v>
      </c>
      <c r="P30" s="19">
        <v>4.57</v>
      </c>
      <c r="Q30" s="19">
        <f t="shared" si="20"/>
        <v>680525.16411378549</v>
      </c>
      <c r="R30" s="19">
        <v>14</v>
      </c>
      <c r="S30" s="19">
        <f t="shared" si="21"/>
        <v>14.2127</v>
      </c>
      <c r="T30" s="19">
        <v>74.5</v>
      </c>
      <c r="U30" s="19">
        <f t="shared" si="22"/>
        <v>0.26723837607825696</v>
      </c>
      <c r="V30" s="19">
        <f t="shared" si="23"/>
        <v>3.8072060553012843</v>
      </c>
      <c r="W30" s="19">
        <f t="shared" si="24"/>
        <v>0.80771686589387448</v>
      </c>
      <c r="X30" s="19"/>
      <c r="Y30" s="19"/>
      <c r="Z30" s="19" t="str">
        <f t="shared" si="25"/>
        <v/>
      </c>
      <c r="AA30" s="19">
        <f t="shared" si="26"/>
        <v>0.21031413897575299</v>
      </c>
      <c r="AB30" s="19" t="s">
        <v>178</v>
      </c>
      <c r="AC30" s="19">
        <v>3011</v>
      </c>
      <c r="AD30" s="19">
        <v>460</v>
      </c>
      <c r="AE30" s="19">
        <v>417</v>
      </c>
      <c r="AF30" s="19">
        <v>68</v>
      </c>
      <c r="AG30" s="19">
        <v>63</v>
      </c>
      <c r="AH30" s="19">
        <v>56</v>
      </c>
      <c r="AI30" s="19">
        <v>39</v>
      </c>
      <c r="AJ30" s="19">
        <v>32</v>
      </c>
      <c r="AK30" s="19">
        <v>25</v>
      </c>
      <c r="AL30" s="19">
        <v>25</v>
      </c>
      <c r="AM30" s="19">
        <v>107</v>
      </c>
      <c r="AN30" s="19" t="s">
        <v>55</v>
      </c>
      <c r="AO30" s="19">
        <v>1</v>
      </c>
      <c r="AP30" s="19"/>
      <c r="AQ30" s="19" t="s">
        <v>71</v>
      </c>
      <c r="AR30" s="19"/>
    </row>
    <row r="31" spans="1:44" x14ac:dyDescent="0.3">
      <c r="A31" s="19" t="s">
        <v>156</v>
      </c>
      <c r="B31" s="19">
        <v>9</v>
      </c>
      <c r="C31" s="19" t="s">
        <v>53</v>
      </c>
      <c r="D31" s="19">
        <v>3</v>
      </c>
      <c r="E31" s="19">
        <v>5</v>
      </c>
      <c r="F31" s="19"/>
      <c r="G31" s="19">
        <v>50</v>
      </c>
      <c r="H31" s="19">
        <v>10</v>
      </c>
      <c r="I31" s="19"/>
      <c r="J31" s="19"/>
      <c r="K31" s="19" t="str">
        <f t="shared" si="18"/>
        <v/>
      </c>
      <c r="L31" s="19"/>
      <c r="M31" s="19">
        <f t="shared" si="19"/>
        <v>0</v>
      </c>
      <c r="N31" s="19"/>
      <c r="O31" s="19"/>
      <c r="P31" s="19"/>
      <c r="Q31" s="19" t="str">
        <f t="shared" si="20"/>
        <v/>
      </c>
      <c r="R31" s="19"/>
      <c r="S31" s="19" t="str">
        <f t="shared" si="21"/>
        <v/>
      </c>
      <c r="T31" s="19"/>
      <c r="U31" s="19" t="str">
        <f t="shared" si="22"/>
        <v/>
      </c>
      <c r="V31" s="19" t="str">
        <f t="shared" si="23"/>
        <v/>
      </c>
      <c r="W31" s="19" t="str">
        <f t="shared" si="24"/>
        <v/>
      </c>
      <c r="X31" s="19"/>
      <c r="Y31" s="19"/>
      <c r="Z31" s="19" t="str">
        <f t="shared" si="25"/>
        <v/>
      </c>
      <c r="AA31" s="19" t="str">
        <f t="shared" si="26"/>
        <v/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 t="s">
        <v>179</v>
      </c>
    </row>
    <row r="32" spans="1:44" ht="18" customHeight="1" x14ac:dyDescent="0.3">
      <c r="A32" s="59" t="s">
        <v>180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</row>
    <row r="33" spans="1:44" x14ac:dyDescent="0.3">
      <c r="A33" s="19" t="s">
        <v>158</v>
      </c>
      <c r="B33" s="19">
        <v>1</v>
      </c>
      <c r="C33" s="19" t="s">
        <v>53</v>
      </c>
      <c r="D33" s="19">
        <v>3</v>
      </c>
      <c r="E33" s="19">
        <v>10</v>
      </c>
      <c r="F33" s="19"/>
      <c r="G33" s="19">
        <v>100</v>
      </c>
      <c r="H33" s="19">
        <v>1</v>
      </c>
      <c r="I33" s="19">
        <v>0.99099999999999999</v>
      </c>
      <c r="J33" s="19">
        <v>111</v>
      </c>
      <c r="K33" s="19">
        <f t="shared" ref="K33:K38" si="27">IF(COUNT(J33,I33)=0,"",IFERROR(J33/1000/I33,""))</f>
        <v>0.11200807265388496</v>
      </c>
      <c r="L33" s="19">
        <v>0.33</v>
      </c>
      <c r="M33" s="19">
        <f t="shared" ref="M33:M38" si="28">IF(COUNT(H33,L33)=0,"",IFERROR(H33*L33,""))</f>
        <v>0.33</v>
      </c>
      <c r="N33" s="19">
        <v>1.25</v>
      </c>
      <c r="O33" s="19">
        <v>0.40300000000000002</v>
      </c>
      <c r="P33" s="19">
        <v>0.60399999999999998</v>
      </c>
      <c r="Q33" s="19">
        <f t="shared" ref="Q33:Q38" si="29">IF(COUNT(O33,P33)=0,"",IFERROR(O33*1000/P33*1000,""))</f>
        <v>667218.54304635758</v>
      </c>
      <c r="R33" s="19">
        <v>0.249</v>
      </c>
      <c r="S33" s="19">
        <f t="shared" ref="S33:S38" si="30">IF(COUNT(O33,P33)=0,"",IFERROR(O33*P33,""))</f>
        <v>0.24341200000000002</v>
      </c>
      <c r="T33" s="19">
        <v>63.7</v>
      </c>
      <c r="U33" s="19">
        <f t="shared" ref="U33:U38" si="31">IF(COUNT(T33)=0,"",IFERROR(COS(T33/180*PI()),""))</f>
        <v>0.44307119082417962</v>
      </c>
      <c r="V33" s="19">
        <f t="shared" ref="V33:V38" si="32">IF(COUNT(S33,T33)=0,"",IFERROR(S33*COS(T33/360*2*3.14),""))</f>
        <v>0.10797181874104733</v>
      </c>
      <c r="W33" s="19">
        <f t="shared" ref="W33:W38" si="33">IF(COUNT(V33,M33)=0,"",IFERROR(1-V33/M33,""))</f>
        <v>0.67281267048167481</v>
      </c>
      <c r="X33" s="19"/>
      <c r="Y33" s="19"/>
      <c r="Z33" s="19" t="str">
        <f t="shared" ref="Z33:Z38" si="34">IFERROR(IF(OR(V33="",X33="",X33=0),"",(V33-X33)/X33*100),"")</f>
        <v/>
      </c>
      <c r="AA33" s="19">
        <f t="shared" ref="AA33:AA38" si="35">IF(COUNT(AD33,AE33,AF33,AG33,AH33,AI33,AJ33,AK33,AL33,AC33)=0,"",IFERROR(SQRT(AD33^2+AE33^2+AF33^2+AG33^2+AH33^2+AI33^2+AJ33^2+AK33^2+AL33^2)/AC33,""))</f>
        <v>0.19741735191348231</v>
      </c>
      <c r="AB33" s="19" t="s">
        <v>181</v>
      </c>
      <c r="AC33" s="19">
        <v>383</v>
      </c>
      <c r="AD33" s="19">
        <v>71</v>
      </c>
      <c r="AE33" s="19">
        <v>24</v>
      </c>
      <c r="AF33" s="19">
        <v>10</v>
      </c>
      <c r="AG33" s="19"/>
      <c r="AH33" s="19"/>
      <c r="AI33" s="19"/>
      <c r="AJ33" s="19"/>
      <c r="AK33" s="19"/>
      <c r="AL33" s="19"/>
      <c r="AM33" s="19">
        <v>24</v>
      </c>
      <c r="AN33" s="19" t="s">
        <v>55</v>
      </c>
      <c r="AO33" s="19">
        <v>0</v>
      </c>
      <c r="AP33" s="19"/>
      <c r="AQ33" s="19"/>
      <c r="AR33" s="19"/>
    </row>
    <row r="34" spans="1:44" x14ac:dyDescent="0.3">
      <c r="A34" s="19" t="s">
        <v>158</v>
      </c>
      <c r="B34" s="19">
        <v>2</v>
      </c>
      <c r="C34" s="19" t="s">
        <v>53</v>
      </c>
      <c r="D34" s="19">
        <v>3</v>
      </c>
      <c r="E34" s="19">
        <v>10</v>
      </c>
      <c r="F34" s="19"/>
      <c r="G34" s="19">
        <v>100</v>
      </c>
      <c r="H34" s="19">
        <v>2</v>
      </c>
      <c r="I34" s="19">
        <v>1.9970000000000001</v>
      </c>
      <c r="J34" s="19">
        <v>163</v>
      </c>
      <c r="K34" s="19">
        <f t="shared" si="27"/>
        <v>8.1622433650475709E-2</v>
      </c>
      <c r="L34" s="19">
        <v>0.45</v>
      </c>
      <c r="M34" s="19">
        <f t="shared" si="28"/>
        <v>0.9</v>
      </c>
      <c r="N34" s="19">
        <v>1.69</v>
      </c>
      <c r="O34" s="19">
        <v>0.53800000000000003</v>
      </c>
      <c r="P34" s="19">
        <v>0.80800000000000005</v>
      </c>
      <c r="Q34" s="19">
        <f t="shared" si="29"/>
        <v>665841.58415841579</v>
      </c>
      <c r="R34" s="19">
        <v>0.44900000000000001</v>
      </c>
      <c r="S34" s="19">
        <f t="shared" si="30"/>
        <v>0.43470400000000003</v>
      </c>
      <c r="T34" s="19">
        <v>64.900000000000006</v>
      </c>
      <c r="U34" s="19">
        <f t="shared" si="31"/>
        <v>0.42419942274539008</v>
      </c>
      <c r="V34" s="19">
        <f t="shared" si="32"/>
        <v>0.18462720757941911</v>
      </c>
      <c r="W34" s="19">
        <f t="shared" si="33"/>
        <v>0.79485865824508983</v>
      </c>
      <c r="X34" s="19"/>
      <c r="Y34" s="19"/>
      <c r="Z34" s="19" t="str">
        <f t="shared" si="34"/>
        <v/>
      </c>
      <c r="AA34" s="19">
        <f t="shared" si="35"/>
        <v>0.25062564599759102</v>
      </c>
      <c r="AB34" s="19" t="s">
        <v>181</v>
      </c>
      <c r="AC34" s="19">
        <v>514</v>
      </c>
      <c r="AD34" s="19">
        <v>123</v>
      </c>
      <c r="AE34" s="19">
        <v>34</v>
      </c>
      <c r="AF34" s="19">
        <v>15</v>
      </c>
      <c r="AG34" s="19">
        <v>7</v>
      </c>
      <c r="AH34" s="19">
        <v>6</v>
      </c>
      <c r="AI34" s="19"/>
      <c r="AJ34" s="19"/>
      <c r="AK34" s="19"/>
      <c r="AL34" s="19"/>
      <c r="AM34" s="19">
        <v>25</v>
      </c>
      <c r="AN34" s="19" t="s">
        <v>55</v>
      </c>
      <c r="AO34" s="19">
        <v>0</v>
      </c>
      <c r="AP34" s="19"/>
      <c r="AQ34" s="19"/>
      <c r="AR34" s="19"/>
    </row>
    <row r="35" spans="1:44" x14ac:dyDescent="0.3">
      <c r="A35" s="19" t="s">
        <v>158</v>
      </c>
      <c r="B35" s="19">
        <v>3</v>
      </c>
      <c r="C35" s="19" t="s">
        <v>53</v>
      </c>
      <c r="D35" s="19">
        <v>3</v>
      </c>
      <c r="E35" s="19">
        <v>10</v>
      </c>
      <c r="F35" s="19"/>
      <c r="G35" s="19">
        <v>100</v>
      </c>
      <c r="H35" s="19">
        <v>3</v>
      </c>
      <c r="I35" s="19">
        <v>2.98</v>
      </c>
      <c r="J35" s="19">
        <v>239</v>
      </c>
      <c r="K35" s="19">
        <f t="shared" si="27"/>
        <v>8.0201342281879195E-2</v>
      </c>
      <c r="L35" s="19">
        <v>0.59</v>
      </c>
      <c r="M35" s="19">
        <f t="shared" si="28"/>
        <v>1.77</v>
      </c>
      <c r="N35" s="19">
        <v>2.31</v>
      </c>
      <c r="O35" s="19">
        <v>0.72</v>
      </c>
      <c r="P35" s="19">
        <v>1.1120000000000001</v>
      </c>
      <c r="Q35" s="19">
        <f t="shared" si="29"/>
        <v>647482.01438848907</v>
      </c>
      <c r="R35" s="19">
        <v>0.877</v>
      </c>
      <c r="S35" s="19">
        <f t="shared" si="30"/>
        <v>0.80064000000000002</v>
      </c>
      <c r="T35" s="19">
        <v>65.099999999999994</v>
      </c>
      <c r="U35" s="19">
        <f t="shared" si="31"/>
        <v>0.42103581336749113</v>
      </c>
      <c r="V35" s="19">
        <f t="shared" si="32"/>
        <v>0.3375163649786585</v>
      </c>
      <c r="W35" s="19">
        <f t="shared" si="33"/>
        <v>0.80931278814765051</v>
      </c>
      <c r="X35" s="19"/>
      <c r="Y35" s="19"/>
      <c r="Z35" s="19" t="str">
        <f t="shared" si="34"/>
        <v/>
      </c>
      <c r="AA35" s="19">
        <f t="shared" si="35"/>
        <v>0.19399254228072299</v>
      </c>
      <c r="AB35" s="19" t="s">
        <v>181</v>
      </c>
      <c r="AC35" s="19">
        <v>698</v>
      </c>
      <c r="AD35" s="19">
        <v>124</v>
      </c>
      <c r="AE35" s="19">
        <v>49</v>
      </c>
      <c r="AF35" s="19">
        <v>21</v>
      </c>
      <c r="AG35" s="19">
        <v>9</v>
      </c>
      <c r="AH35" s="19">
        <v>6</v>
      </c>
      <c r="AI35" s="19"/>
      <c r="AJ35" s="19"/>
      <c r="AK35" s="19"/>
      <c r="AL35" s="19"/>
      <c r="AM35" s="19">
        <v>29</v>
      </c>
      <c r="AN35" s="19" t="s">
        <v>55</v>
      </c>
      <c r="AO35" s="19">
        <v>0</v>
      </c>
      <c r="AP35" s="19"/>
      <c r="AQ35" s="19"/>
      <c r="AR35" s="19"/>
    </row>
    <row r="36" spans="1:44" x14ac:dyDescent="0.3">
      <c r="A36" s="19" t="s">
        <v>158</v>
      </c>
      <c r="B36" s="19">
        <v>4</v>
      </c>
      <c r="C36" s="19" t="s">
        <v>53</v>
      </c>
      <c r="D36" s="19">
        <v>3</v>
      </c>
      <c r="E36" s="19">
        <v>10</v>
      </c>
      <c r="F36" s="19"/>
      <c r="G36" s="19">
        <v>100</v>
      </c>
      <c r="H36" s="19">
        <v>4</v>
      </c>
      <c r="I36" s="19">
        <v>3.99</v>
      </c>
      <c r="J36" s="19">
        <v>379</v>
      </c>
      <c r="K36" s="19">
        <f t="shared" si="27"/>
        <v>9.498746867167919E-2</v>
      </c>
      <c r="L36" s="19">
        <v>1.1599999999999999</v>
      </c>
      <c r="M36" s="19">
        <f t="shared" si="28"/>
        <v>4.6399999999999997</v>
      </c>
      <c r="N36" s="19">
        <v>3.71</v>
      </c>
      <c r="O36" s="19">
        <v>1.2310000000000001</v>
      </c>
      <c r="P36" s="19">
        <v>2.0990000000000002</v>
      </c>
      <c r="Q36" s="19">
        <f t="shared" si="29"/>
        <v>586469.74749880889</v>
      </c>
      <c r="R36" s="19">
        <v>2.5</v>
      </c>
      <c r="S36" s="19">
        <f t="shared" si="30"/>
        <v>2.5838690000000004</v>
      </c>
      <c r="T36" s="19">
        <v>75.7</v>
      </c>
      <c r="U36" s="19">
        <f t="shared" si="31"/>
        <v>0.24699901272274299</v>
      </c>
      <c r="V36" s="19">
        <f t="shared" si="32"/>
        <v>0.63988999874694874</v>
      </c>
      <c r="W36" s="19">
        <f t="shared" si="33"/>
        <v>0.86209267268384726</v>
      </c>
      <c r="X36" s="19"/>
      <c r="Y36" s="19"/>
      <c r="Z36" s="19" t="str">
        <f t="shared" si="34"/>
        <v/>
      </c>
      <c r="AA36" s="19">
        <f t="shared" si="35"/>
        <v>0.21463745615387531</v>
      </c>
      <c r="AB36" s="19" t="s">
        <v>181</v>
      </c>
      <c r="AC36" s="19">
        <v>1173</v>
      </c>
      <c r="AD36" s="19">
        <v>235</v>
      </c>
      <c r="AE36" s="19">
        <v>77</v>
      </c>
      <c r="AF36" s="19">
        <v>35</v>
      </c>
      <c r="AG36" s="19">
        <v>20</v>
      </c>
      <c r="AH36" s="19">
        <v>18</v>
      </c>
      <c r="AI36" s="19">
        <v>11</v>
      </c>
      <c r="AJ36" s="19">
        <v>10</v>
      </c>
      <c r="AK36" s="19">
        <v>8</v>
      </c>
      <c r="AL36" s="19"/>
      <c r="AM36" s="19">
        <v>37</v>
      </c>
      <c r="AN36" s="19" t="s">
        <v>160</v>
      </c>
      <c r="AO36" s="19">
        <v>1</v>
      </c>
      <c r="AP36" s="19" t="s">
        <v>182</v>
      </c>
      <c r="AQ36" s="19" t="s">
        <v>72</v>
      </c>
      <c r="AR36" s="19" t="s">
        <v>183</v>
      </c>
    </row>
    <row r="37" spans="1:44" x14ac:dyDescent="0.3">
      <c r="A37" s="19" t="s">
        <v>158</v>
      </c>
      <c r="B37" s="19">
        <v>5</v>
      </c>
      <c r="C37" s="19" t="s">
        <v>53</v>
      </c>
      <c r="D37" s="19">
        <v>3</v>
      </c>
      <c r="E37" s="19">
        <v>10</v>
      </c>
      <c r="F37" s="19"/>
      <c r="G37" s="19">
        <v>100</v>
      </c>
      <c r="H37" s="19">
        <v>4.5</v>
      </c>
      <c r="I37" s="19">
        <v>4.516</v>
      </c>
      <c r="J37" s="19">
        <v>622</v>
      </c>
      <c r="K37" s="19">
        <f t="shared" si="27"/>
        <v>0.13773250664304695</v>
      </c>
      <c r="L37" s="19">
        <v>3.16</v>
      </c>
      <c r="M37" s="19">
        <f t="shared" si="28"/>
        <v>14.22</v>
      </c>
      <c r="N37" s="19">
        <v>6.24</v>
      </c>
      <c r="O37" s="19">
        <v>1.9530000000000001</v>
      </c>
      <c r="P37" s="19">
        <v>5.1459999999999999</v>
      </c>
      <c r="Q37" s="19">
        <f t="shared" si="29"/>
        <v>379518.07228915661</v>
      </c>
      <c r="R37" s="19">
        <v>9</v>
      </c>
      <c r="S37" s="19">
        <f t="shared" si="30"/>
        <v>10.050138</v>
      </c>
      <c r="T37" s="19">
        <v>76.8</v>
      </c>
      <c r="U37" s="19">
        <f t="shared" si="31"/>
        <v>0.22835087011065588</v>
      </c>
      <c r="V37" s="19">
        <f t="shared" si="32"/>
        <v>2.3016061789854247</v>
      </c>
      <c r="W37" s="19">
        <f t="shared" si="33"/>
        <v>0.83814302538780416</v>
      </c>
      <c r="X37" s="19"/>
      <c r="Y37" s="19"/>
      <c r="Z37" s="19" t="str">
        <f t="shared" si="34"/>
        <v/>
      </c>
      <c r="AA37" s="19">
        <f t="shared" si="35"/>
        <v>0.20555895062524801</v>
      </c>
      <c r="AB37" s="19" t="s">
        <v>181</v>
      </c>
      <c r="AC37" s="19">
        <v>1891</v>
      </c>
      <c r="AD37" s="19">
        <v>295</v>
      </c>
      <c r="AE37" s="19">
        <v>208</v>
      </c>
      <c r="AF37" s="19">
        <v>124</v>
      </c>
      <c r="AG37" s="19">
        <v>52</v>
      </c>
      <c r="AH37" s="19">
        <v>38</v>
      </c>
      <c r="AI37" s="19">
        <v>23</v>
      </c>
      <c r="AJ37" s="19">
        <v>19</v>
      </c>
      <c r="AK37" s="19">
        <v>15</v>
      </c>
      <c r="AL37" s="19">
        <v>13</v>
      </c>
      <c r="AM37" s="19">
        <v>60</v>
      </c>
      <c r="AN37" s="19" t="s">
        <v>160</v>
      </c>
      <c r="AO37" s="19">
        <v>1</v>
      </c>
      <c r="AP37" s="19"/>
      <c r="AQ37" s="19" t="s">
        <v>73</v>
      </c>
      <c r="AR37" s="19" t="s">
        <v>184</v>
      </c>
    </row>
    <row r="38" spans="1:44" x14ac:dyDescent="0.3">
      <c r="A38" s="19" t="s">
        <v>158</v>
      </c>
      <c r="B38" s="19">
        <v>6</v>
      </c>
      <c r="C38" s="19" t="s">
        <v>53</v>
      </c>
      <c r="D38" s="19">
        <v>3</v>
      </c>
      <c r="E38" s="19">
        <v>10</v>
      </c>
      <c r="F38" s="19"/>
      <c r="G38" s="19">
        <v>100</v>
      </c>
      <c r="H38" s="19">
        <v>5</v>
      </c>
      <c r="I38" s="19"/>
      <c r="J38" s="19"/>
      <c r="K38" s="19" t="str">
        <f t="shared" si="27"/>
        <v/>
      </c>
      <c r="L38" s="19"/>
      <c r="M38" s="19">
        <f t="shared" si="28"/>
        <v>0</v>
      </c>
      <c r="N38" s="19"/>
      <c r="O38" s="19"/>
      <c r="P38" s="19"/>
      <c r="Q38" s="19" t="str">
        <f t="shared" si="29"/>
        <v/>
      </c>
      <c r="R38" s="19"/>
      <c r="S38" s="19" t="str">
        <f t="shared" si="30"/>
        <v/>
      </c>
      <c r="T38" s="19"/>
      <c r="U38" s="19" t="str">
        <f t="shared" si="31"/>
        <v/>
      </c>
      <c r="V38" s="19" t="str">
        <f t="shared" si="32"/>
        <v/>
      </c>
      <c r="W38" s="19" t="str">
        <f t="shared" si="33"/>
        <v/>
      </c>
      <c r="X38" s="19"/>
      <c r="Y38" s="19"/>
      <c r="Z38" s="19" t="str">
        <f t="shared" si="34"/>
        <v/>
      </c>
      <c r="AA38" s="19" t="str">
        <f t="shared" si="35"/>
        <v/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 t="s">
        <v>179</v>
      </c>
    </row>
    <row r="39" spans="1:44" ht="18" customHeight="1" x14ac:dyDescent="0.3">
      <c r="A39" s="59" t="s">
        <v>185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</row>
    <row r="40" spans="1:44" x14ac:dyDescent="0.3">
      <c r="A40" s="19" t="s">
        <v>186</v>
      </c>
      <c r="B40" s="19">
        <v>1</v>
      </c>
      <c r="C40" s="19" t="s">
        <v>53</v>
      </c>
      <c r="D40" s="19">
        <v>3</v>
      </c>
      <c r="E40" s="19">
        <v>15</v>
      </c>
      <c r="F40" s="19"/>
      <c r="G40" s="19">
        <v>100</v>
      </c>
      <c r="H40" s="19">
        <v>1</v>
      </c>
      <c r="I40" s="19">
        <v>0.99399999999999999</v>
      </c>
      <c r="J40" s="19">
        <v>79</v>
      </c>
      <c r="K40" s="19">
        <f>IF(COUNT(J40,I40)=0,"",IFERROR(J40/1000/I40,""))</f>
        <v>7.9476861167002019E-2</v>
      </c>
      <c r="L40" s="19">
        <v>0.32</v>
      </c>
      <c r="M40" s="19">
        <f>IF(COUNT(H40,L40)=0,"",IFERROR(H40*L40,""))</f>
        <v>0.32</v>
      </c>
      <c r="N40" s="19">
        <v>0.65600000000000003</v>
      </c>
      <c r="O40" s="19">
        <v>0.221</v>
      </c>
      <c r="P40" s="19">
        <v>0.50900000000000001</v>
      </c>
      <c r="Q40" s="19">
        <f>IF(COUNT(O40,P40)=0,"",IFERROR(O40*1000/P40*1000,""))</f>
        <v>434184.67583497049</v>
      </c>
      <c r="R40" s="19">
        <v>0.115</v>
      </c>
      <c r="S40" s="19">
        <f>IF(COUNT(O40,P40)=0,"",IFERROR(O40*P40,""))</f>
        <v>0.11248900000000001</v>
      </c>
      <c r="T40" s="19">
        <v>70</v>
      </c>
      <c r="U40" s="19">
        <f>IF(COUNT(T40)=0,"",IFERROR(COS(T40/180*PI()),""))</f>
        <v>0.34202014332566882</v>
      </c>
      <c r="V40" s="19">
        <f>IF(COUNT(S40,T40)=0,"",IFERROR(S40*COS(T40/360*2*3.14),""))</f>
        <v>3.8538966577886281E-2</v>
      </c>
      <c r="W40" s="19">
        <f>IF(COUNT(V40,M40)=0,"",IFERROR(1-V40/M40,""))</f>
        <v>0.87956572944410538</v>
      </c>
      <c r="X40" s="19"/>
      <c r="Y40" s="19"/>
      <c r="Z40" s="19" t="str">
        <f>IFERROR(IF(OR(V40="",X40="",X40=0),"",(V40-X40)/X40*100),"")</f>
        <v/>
      </c>
      <c r="AA40" s="19">
        <f>IF(COUNT(AD40,AE40,AF40,AG40,AH40,AI40,AJ40,AK40,AL40,AC40)=0,"",IFERROR(SQRT(AD40^2+AE40^2+AF40^2+AG40^2+AH40^2+AI40^2+AJ40^2+AK40^2+AL40^2)/AC40,""))</f>
        <v>0.39544102936728032</v>
      </c>
      <c r="AB40" s="19" t="s">
        <v>74</v>
      </c>
      <c r="AC40" s="19">
        <v>203</v>
      </c>
      <c r="AD40" s="19">
        <v>78</v>
      </c>
      <c r="AE40" s="19">
        <v>18</v>
      </c>
      <c r="AF40" s="19">
        <v>6</v>
      </c>
      <c r="AG40" s="19"/>
      <c r="AH40" s="19"/>
      <c r="AI40" s="19"/>
      <c r="AJ40" s="19"/>
      <c r="AK40" s="19"/>
      <c r="AL40" s="19"/>
      <c r="AM40" s="19">
        <v>29</v>
      </c>
      <c r="AN40" s="19" t="s">
        <v>55</v>
      </c>
      <c r="AO40" s="19">
        <v>0</v>
      </c>
      <c r="AP40" s="19"/>
      <c r="AQ40" s="19"/>
      <c r="AR40" s="19"/>
    </row>
    <row r="41" spans="1:44" x14ac:dyDescent="0.3">
      <c r="A41" s="19" t="s">
        <v>186</v>
      </c>
      <c r="B41" s="19">
        <v>2</v>
      </c>
      <c r="C41" s="19" t="s">
        <v>53</v>
      </c>
      <c r="D41" s="19">
        <v>3</v>
      </c>
      <c r="E41" s="19">
        <v>15</v>
      </c>
      <c r="F41" s="19"/>
      <c r="G41" s="19">
        <v>100</v>
      </c>
      <c r="H41" s="19">
        <v>2</v>
      </c>
      <c r="I41" s="19">
        <v>2</v>
      </c>
      <c r="J41" s="19">
        <v>95</v>
      </c>
      <c r="K41" s="19">
        <f>IF(COUNT(J41,I41)=0,"",IFERROR(J41/1000/I41,""))</f>
        <v>4.7500000000000001E-2</v>
      </c>
      <c r="L41" s="19">
        <v>0.41</v>
      </c>
      <c r="M41" s="19">
        <f>IF(COUNT(H41,L41)=0,"",IFERROR(H41*L41,""))</f>
        <v>0.82</v>
      </c>
      <c r="N41" s="19">
        <v>0.81</v>
      </c>
      <c r="O41" s="19">
        <v>0.27400000000000002</v>
      </c>
      <c r="P41" s="19">
        <v>0.66</v>
      </c>
      <c r="Q41" s="19">
        <f>IF(COUNT(O41,P41)=0,"",IFERROR(O41*1000/P41*1000,""))</f>
        <v>415151.51515151514</v>
      </c>
      <c r="R41" s="19">
        <v>0.187</v>
      </c>
      <c r="S41" s="19">
        <f>IF(COUNT(O41,P41)=0,"",IFERROR(O41*P41,""))</f>
        <v>0.18084000000000003</v>
      </c>
      <c r="T41" s="19">
        <v>67.8</v>
      </c>
      <c r="U41" s="19">
        <f>IF(COUNT(T41)=0,"",IFERROR(COS(T41/180*PI()),""))</f>
        <v>0.37784078681846728</v>
      </c>
      <c r="V41" s="19">
        <f>IF(COUNT(S41,T41)=0,"",IFERROR(S41*COS(T41/360*2*3.14),""))</f>
        <v>6.8429159425100264E-2</v>
      </c>
      <c r="W41" s="19">
        <f>IF(COUNT(V41,M41)=0,"",IFERROR(1-V41/M41,""))</f>
        <v>0.916549805579146</v>
      </c>
      <c r="X41" s="19"/>
      <c r="Y41" s="19"/>
      <c r="Z41" s="19" t="str">
        <f>IFERROR(IF(OR(V41="",X41="",X41=0),"",(V41-X41)/X41*100),"")</f>
        <v/>
      </c>
      <c r="AA41" s="19">
        <f>IF(COUNT(AD41,AE41,AF41,AG41,AH41,AI41,AJ41,AK41,AL41,AC41)=0,"",IFERROR(SQRT(AD41^2+AE41^2+AF41^2+AG41^2+AH41^2+AI41^2+AJ41^2+AK41^2+AL41^2)/AC41,""))</f>
        <v>0.31432703704091836</v>
      </c>
      <c r="AB41" s="19" t="s">
        <v>74</v>
      </c>
      <c r="AC41" s="19">
        <v>263</v>
      </c>
      <c r="AD41" s="19">
        <v>79</v>
      </c>
      <c r="AE41" s="19">
        <v>23</v>
      </c>
      <c r="AF41" s="19">
        <v>8</v>
      </c>
      <c r="AG41" s="19"/>
      <c r="AH41" s="19"/>
      <c r="AI41" s="19"/>
      <c r="AJ41" s="19"/>
      <c r="AK41" s="19"/>
      <c r="AL41" s="19"/>
      <c r="AM41" s="19">
        <v>29</v>
      </c>
      <c r="AN41" s="19" t="s">
        <v>55</v>
      </c>
      <c r="AO41" s="19">
        <v>0</v>
      </c>
      <c r="AP41" s="19"/>
      <c r="AQ41" s="19" t="s">
        <v>75</v>
      </c>
      <c r="AR41" s="19"/>
    </row>
    <row r="42" spans="1:44" x14ac:dyDescent="0.3">
      <c r="A42" s="19" t="s">
        <v>186</v>
      </c>
      <c r="B42" s="19">
        <v>3</v>
      </c>
      <c r="C42" s="19" t="s">
        <v>53</v>
      </c>
      <c r="D42" s="19">
        <v>3</v>
      </c>
      <c r="E42" s="19">
        <v>15</v>
      </c>
      <c r="F42" s="19"/>
      <c r="G42" s="19">
        <v>100</v>
      </c>
      <c r="H42" s="19">
        <v>3</v>
      </c>
      <c r="I42" s="19">
        <v>2.99</v>
      </c>
      <c r="J42" s="19">
        <v>155</v>
      </c>
      <c r="K42" s="19">
        <f>IF(COUNT(J42,I42)=0,"",IFERROR(J42/1000/I42,""))</f>
        <v>5.1839464882943137E-2</v>
      </c>
      <c r="L42" s="19">
        <v>0.56000000000000005</v>
      </c>
      <c r="M42" s="19">
        <f>IF(COUNT(H42,L42)=0,"",IFERROR(H42*L42,""))</f>
        <v>1.6800000000000002</v>
      </c>
      <c r="N42" s="19">
        <v>1.2</v>
      </c>
      <c r="O42" s="19">
        <v>0.373</v>
      </c>
      <c r="P42" s="19">
        <v>0.92800000000000005</v>
      </c>
      <c r="Q42" s="19">
        <f>IF(COUNT(O42,P42)=0,"",IFERROR(O42*1000/P42*1000,""))</f>
        <v>401939.6551724138</v>
      </c>
      <c r="R42" s="19">
        <v>0.373</v>
      </c>
      <c r="S42" s="19">
        <f>IF(COUNT(O42,P42)=0,"",IFERROR(O42*P42,""))</f>
        <v>0.34614400000000001</v>
      </c>
      <c r="T42" s="19">
        <v>67.900000000000006</v>
      </c>
      <c r="U42" s="19">
        <f>IF(COUNT(T42)=0,"",IFERROR(COS(T42/180*PI()),""))</f>
        <v>0.37622426313936563</v>
      </c>
      <c r="V42" s="19">
        <f>IF(COUNT(S42,T42)=0,"",IFERROR(S42*COS(T42/360*2*3.14),""))</f>
        <v>0.13042042676517682</v>
      </c>
      <c r="W42" s="19">
        <f>IF(COUNT(V42,M42)=0,"",IFERROR(1-V42/M42,""))</f>
        <v>0.92236879359215662</v>
      </c>
      <c r="X42" s="19"/>
      <c r="Y42" s="19"/>
      <c r="Z42" s="19" t="str">
        <f>IFERROR(IF(OR(V42="",X42="",X42=0),"",(V42-X42)/X42*100),"")</f>
        <v/>
      </c>
      <c r="AA42" s="19">
        <f>IF(COUNT(AD42,AE42,AF42,AG42,AH42,AI42,AJ42,AK42,AL42,AC42)=0,"",IFERROR(SQRT(AD42^2+AE42^2+AF42^2+AG42^2+AH42^2+AI42^2+AJ42^2+AK42^2+AL42^2)/AC42,""))</f>
        <v>0.23638180703186989</v>
      </c>
      <c r="AB42" s="19" t="s">
        <v>74</v>
      </c>
      <c r="AC42" s="19">
        <v>368</v>
      </c>
      <c r="AD42" s="19">
        <v>80</v>
      </c>
      <c r="AE42" s="19">
        <v>31</v>
      </c>
      <c r="AF42" s="19">
        <v>11</v>
      </c>
      <c r="AG42" s="19">
        <v>7</v>
      </c>
      <c r="AH42" s="19">
        <v>6</v>
      </c>
      <c r="AI42" s="19"/>
      <c r="AJ42" s="19"/>
      <c r="AK42" s="19"/>
      <c r="AL42" s="19"/>
      <c r="AM42" s="19">
        <v>34</v>
      </c>
      <c r="AN42" s="19" t="s">
        <v>187</v>
      </c>
      <c r="AO42" s="19">
        <v>0</v>
      </c>
      <c r="AP42" s="19"/>
      <c r="AQ42" s="19"/>
      <c r="AR42" s="19"/>
    </row>
    <row r="43" spans="1:44" x14ac:dyDescent="0.3">
      <c r="A43" s="19" t="s">
        <v>186</v>
      </c>
      <c r="B43" s="19">
        <v>4</v>
      </c>
      <c r="C43" s="19" t="s">
        <v>53</v>
      </c>
      <c r="D43" s="19">
        <v>3</v>
      </c>
      <c r="E43" s="19">
        <v>15</v>
      </c>
      <c r="F43" s="19"/>
      <c r="G43" s="19">
        <v>100</v>
      </c>
      <c r="H43" s="19">
        <v>4</v>
      </c>
      <c r="I43" s="19">
        <v>4</v>
      </c>
      <c r="J43" s="19">
        <v>215</v>
      </c>
      <c r="K43" s="19">
        <f>IF(COUNT(J43,I43)=0,"",IFERROR(J43/1000/I43,""))</f>
        <v>5.3749999999999999E-2</v>
      </c>
      <c r="L43" s="19">
        <v>0.92</v>
      </c>
      <c r="M43" s="19">
        <f>IF(COUNT(H43,L43)=0,"",IFERROR(H43*L43,""))</f>
        <v>3.68</v>
      </c>
      <c r="N43" s="19">
        <v>1.97</v>
      </c>
      <c r="O43" s="19">
        <v>0.63400000000000001</v>
      </c>
      <c r="P43" s="19">
        <v>1.6</v>
      </c>
      <c r="Q43" s="19">
        <f>IF(COUNT(O43,P43)=0,"",IFERROR(O43*1000/P43*1000,""))</f>
        <v>396250</v>
      </c>
      <c r="R43" s="19">
        <v>0.91500000000000004</v>
      </c>
      <c r="S43" s="19">
        <f>IF(COUNT(O43,P43)=0,"",IFERROR(O43*P43,""))</f>
        <v>1.0144</v>
      </c>
      <c r="T43" s="19">
        <v>71.5</v>
      </c>
      <c r="U43" s="19">
        <f>IF(COUNT(T43)=0,"",IFERROR(COS(T43/180*PI()),""))</f>
        <v>0.31730465640509231</v>
      </c>
      <c r="V43" s="19">
        <f>IF(COUNT(S43,T43)=0,"",IFERROR(S43*COS(T43/360*2*3.14),""))</f>
        <v>0.32248236322292795</v>
      </c>
      <c r="W43" s="19">
        <f>IF(COUNT(V43,M43)=0,"",IFERROR(1-V43/M43,""))</f>
        <v>0.91236892303724781</v>
      </c>
      <c r="X43" s="19"/>
      <c r="Y43" s="19"/>
      <c r="Z43" s="19" t="str">
        <f>IFERROR(IF(OR(V43="",X43="",X43=0),"",(V43-X43)/X43*100),"")</f>
        <v/>
      </c>
      <c r="AA43" s="19">
        <f>IF(COUNT(AD43,AE43,AF43,AG43,AH43,AI43,AJ43,AK43,AL43,AC43)=0,"",IFERROR(SQRT(AD43^2+AE43^2+AF43^2+AG43^2+AH43^2+AI43^2+AJ43^2+AK43^2+AL43^2)/AC43,""))</f>
        <v>0.15864308017100967</v>
      </c>
      <c r="AB43" s="19" t="s">
        <v>74</v>
      </c>
      <c r="AC43" s="19">
        <v>675</v>
      </c>
      <c r="AD43" s="19">
        <v>86</v>
      </c>
      <c r="AE43" s="19">
        <v>59</v>
      </c>
      <c r="AF43" s="19">
        <v>21</v>
      </c>
      <c r="AG43" s="19">
        <v>10</v>
      </c>
      <c r="AH43" s="19">
        <v>7</v>
      </c>
      <c r="AI43" s="19"/>
      <c r="AJ43" s="19"/>
      <c r="AK43" s="19"/>
      <c r="AL43" s="19"/>
      <c r="AM43" s="19">
        <v>47</v>
      </c>
      <c r="AN43" s="19" t="s">
        <v>187</v>
      </c>
      <c r="AO43" s="19">
        <v>0</v>
      </c>
      <c r="AP43" s="19"/>
      <c r="AQ43" s="19"/>
      <c r="AR43" s="19"/>
    </row>
    <row r="44" spans="1:44" x14ac:dyDescent="0.3">
      <c r="A44" s="19" t="s">
        <v>186</v>
      </c>
      <c r="B44" s="19">
        <v>5</v>
      </c>
      <c r="C44" s="19" t="s">
        <v>53</v>
      </c>
      <c r="D44" s="19">
        <v>3</v>
      </c>
      <c r="E44" s="19">
        <v>15</v>
      </c>
      <c r="F44" s="19"/>
      <c r="G44" s="19">
        <v>100</v>
      </c>
      <c r="H44" s="19">
        <v>4</v>
      </c>
      <c r="I44" s="19">
        <v>4.03</v>
      </c>
      <c r="J44" s="19">
        <v>775</v>
      </c>
      <c r="K44" s="19">
        <f>IF(COUNT(J44,I44)=0,"",IFERROR(J44/1000/I44,""))</f>
        <v>0.19230769230769229</v>
      </c>
      <c r="L44" s="19">
        <v>2.08</v>
      </c>
      <c r="M44" s="19">
        <f>IF(COUNT(H44,L44)=0,"",IFERROR(H44*L44,""))</f>
        <v>8.32</v>
      </c>
      <c r="N44" s="19">
        <v>3.89</v>
      </c>
      <c r="O44" s="19">
        <v>1.2909999999999999</v>
      </c>
      <c r="P44" s="19">
        <v>3.45</v>
      </c>
      <c r="Q44" s="19">
        <f>IF(COUNT(O44,P44)=0,"",IFERROR(O44*1000/P44*1000,""))</f>
        <v>374202.89855072461</v>
      </c>
      <c r="R44" s="19">
        <v>1.19</v>
      </c>
      <c r="S44" s="19">
        <f>IF(COUNT(O44,P44)=0,"",IFERROR(O44*P44,""))</f>
        <v>4.4539499999999999</v>
      </c>
      <c r="T44" s="19">
        <v>87</v>
      </c>
      <c r="U44" s="19">
        <f>IF(COUNT(T44)=0,"",IFERROR(COS(T44/180*PI()),""))</f>
        <v>5.2335956242943966E-2</v>
      </c>
      <c r="V44" s="19">
        <f>IF(COUNT(S44,T44)=0,"",IFERROR(S44*COS(T44/360*2*3.14),""))</f>
        <v>0.23652553723642136</v>
      </c>
      <c r="W44" s="19">
        <f>IF(COUNT(V44,M44)=0,"",IFERROR(1-V44/M44,""))</f>
        <v>0.97157144985139166</v>
      </c>
      <c r="X44" s="19"/>
      <c r="Y44" s="19"/>
      <c r="Z44" s="19" t="str">
        <f>IFERROR(IF(OR(V44="",X44="",X44=0),"",(V44-X44)/X44*100),"")</f>
        <v/>
      </c>
      <c r="AA44" s="19">
        <f>IF(COUNT(AD44,AE44,AF44,AG44,AH44,AI44,AJ44,AK44,AL44,AC44)=0,"",IFERROR(SQRT(AD44^2+AE44^2+AF44^2+AG44^2+AH44^2+AI44^2+AJ44^2+AK44^2+AL44^2)/AC44,""))</f>
        <v>0.11517929758169376</v>
      </c>
      <c r="AB44" s="19" t="s">
        <v>74</v>
      </c>
      <c r="AC44" s="19">
        <v>1288</v>
      </c>
      <c r="AD44" s="19">
        <v>98</v>
      </c>
      <c r="AE44" s="19">
        <v>86</v>
      </c>
      <c r="AF44" s="19">
        <v>55</v>
      </c>
      <c r="AG44" s="19">
        <v>37</v>
      </c>
      <c r="AH44" s="19">
        <v>17</v>
      </c>
      <c r="AI44" s="19">
        <v>15</v>
      </c>
      <c r="AJ44" s="19">
        <v>10</v>
      </c>
      <c r="AK44" s="19"/>
      <c r="AL44" s="19"/>
      <c r="AM44" s="19">
        <v>80</v>
      </c>
      <c r="AN44" s="19" t="s">
        <v>187</v>
      </c>
      <c r="AO44" s="19">
        <v>1</v>
      </c>
      <c r="AP44" s="19" t="s">
        <v>169</v>
      </c>
      <c r="AQ44" s="19"/>
      <c r="AR44" s="19"/>
    </row>
    <row r="45" spans="1:44" ht="18" customHeight="1" x14ac:dyDescent="0.3">
      <c r="A45" s="54" t="s">
        <v>188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</row>
    <row r="46" spans="1:44" x14ac:dyDescent="0.3">
      <c r="A46" s="19" t="s">
        <v>189</v>
      </c>
      <c r="B46" s="19">
        <v>1</v>
      </c>
      <c r="C46" s="19" t="s">
        <v>53</v>
      </c>
      <c r="D46" s="19">
        <v>1</v>
      </c>
      <c r="E46" s="19">
        <v>6.5</v>
      </c>
      <c r="F46" s="19"/>
      <c r="G46" s="19">
        <v>100</v>
      </c>
      <c r="H46" s="19">
        <v>1</v>
      </c>
      <c r="I46" s="19"/>
      <c r="J46" s="19">
        <v>74</v>
      </c>
      <c r="K46" s="19" t="str">
        <f t="shared" ref="K46:K53" si="36">IF(COUNT(J46,I46)=0,"",IFERROR(J46/1000/I46,""))</f>
        <v/>
      </c>
      <c r="L46" s="19">
        <v>0.35</v>
      </c>
      <c r="M46" s="19">
        <f t="shared" ref="M46:M53" si="37">IF(COUNT(H46,L46)=0,"",IFERROR(H46*L46,""))</f>
        <v>0.35</v>
      </c>
      <c r="N46" s="19">
        <v>3.19</v>
      </c>
      <c r="O46" s="19">
        <v>1.2</v>
      </c>
      <c r="P46" s="19">
        <v>9.0399999999999991</v>
      </c>
      <c r="Q46" s="19">
        <f t="shared" ref="Q46:Q53" si="38">IF(COUNT(O46,P46)=0,"",IFERROR(O46*1000/P46*1000,""))</f>
        <v>132743.36283185839</v>
      </c>
      <c r="R46" s="19">
        <v>9.6</v>
      </c>
      <c r="S46" s="19">
        <f t="shared" ref="S46:S53" si="39">IF(COUNT(O46,P46)=0,"",IFERROR(O46*P46,""))</f>
        <v>10.847999999999999</v>
      </c>
      <c r="T46" s="19">
        <v>69.5</v>
      </c>
      <c r="U46" s="19">
        <f t="shared" ref="U46:U53" si="40">IF(COUNT(T46)=0,"",IFERROR(COS(T46/180*PI()),""))</f>
        <v>0.35020738125946743</v>
      </c>
      <c r="V46" s="19">
        <f t="shared" ref="V46:V53" si="41">IF(COUNT(S46,T46)=0,"",IFERROR(S46*COS(T46/360*2*3.14),""))</f>
        <v>3.8052973834537389</v>
      </c>
      <c r="W46" s="19">
        <f t="shared" ref="W46:W53" si="42">IF(COUNT(V46,M46)=0,"",IFERROR(1-V46/M46,""))</f>
        <v>-9.8722782384392556</v>
      </c>
      <c r="X46" s="19"/>
      <c r="Y46" s="19"/>
      <c r="Z46" s="19" t="str">
        <f t="shared" ref="Z46:Z53" si="43">IFERROR(IF(OR(V46="",X46="",X46=0),"",(V46-X46)/X46*100),"")</f>
        <v/>
      </c>
      <c r="AA46" s="19">
        <f t="shared" ref="AA46:AA53" si="44">IF(COUNT(AD46,AE46,AF46,AG46,AH46,AI46,AJ46,AK46,AL46,AC46)=0,"",IFERROR(SQRT(AD46^2+AE46^2+AF46^2+AG46^2+AH46^2+AI46^2+AJ46^2+AK46^2+AL46^2)/AC46,""))</f>
        <v>0.47576611198093893</v>
      </c>
      <c r="AB46" s="19" t="s">
        <v>168</v>
      </c>
      <c r="AC46" s="19">
        <v>1070</v>
      </c>
      <c r="AD46" s="19">
        <v>508</v>
      </c>
      <c r="AE46" s="19">
        <v>15</v>
      </c>
      <c r="AF46" s="19">
        <v>13</v>
      </c>
      <c r="AG46" s="19">
        <v>13</v>
      </c>
      <c r="AH46" s="19">
        <v>12</v>
      </c>
      <c r="AI46" s="19">
        <v>10</v>
      </c>
      <c r="AJ46" s="19">
        <v>10</v>
      </c>
      <c r="AK46" s="19">
        <v>10</v>
      </c>
      <c r="AL46" s="19">
        <v>9</v>
      </c>
      <c r="AM46" s="19">
        <v>26</v>
      </c>
      <c r="AN46" s="19" t="s">
        <v>55</v>
      </c>
      <c r="AO46" s="19">
        <v>0</v>
      </c>
      <c r="AP46" s="19"/>
      <c r="AQ46" s="19"/>
      <c r="AR46" s="19"/>
    </row>
    <row r="47" spans="1:44" x14ac:dyDescent="0.3">
      <c r="A47" s="19" t="s">
        <v>189</v>
      </c>
      <c r="B47" s="19">
        <v>2</v>
      </c>
      <c r="C47" s="19" t="s">
        <v>53</v>
      </c>
      <c r="D47" s="19">
        <v>1</v>
      </c>
      <c r="E47" s="19">
        <v>6.5</v>
      </c>
      <c r="F47" s="19"/>
      <c r="G47" s="19">
        <v>100</v>
      </c>
      <c r="H47" s="19">
        <v>2</v>
      </c>
      <c r="I47" s="19"/>
      <c r="J47" s="19">
        <v>89</v>
      </c>
      <c r="K47" s="19" t="str">
        <f t="shared" si="36"/>
        <v/>
      </c>
      <c r="L47" s="19">
        <v>0.47</v>
      </c>
      <c r="M47" s="19">
        <f t="shared" si="37"/>
        <v>0.94</v>
      </c>
      <c r="N47" s="19">
        <v>3.39</v>
      </c>
      <c r="O47" s="19">
        <v>1.29</v>
      </c>
      <c r="P47" s="19">
        <v>10.9</v>
      </c>
      <c r="Q47" s="19">
        <f t="shared" si="38"/>
        <v>118348.62385321101</v>
      </c>
      <c r="R47" s="19">
        <v>11.75</v>
      </c>
      <c r="S47" s="19">
        <f t="shared" si="39"/>
        <v>14.061000000000002</v>
      </c>
      <c r="T47" s="19">
        <v>70.400000000000006</v>
      </c>
      <c r="U47" s="19">
        <f t="shared" si="40"/>
        <v>0.33545156975025509</v>
      </c>
      <c r="V47" s="19">
        <f t="shared" si="41"/>
        <v>4.725034767939003</v>
      </c>
      <c r="W47" s="19">
        <f t="shared" si="42"/>
        <v>-4.0266327318500039</v>
      </c>
      <c r="X47" s="19"/>
      <c r="Y47" s="19"/>
      <c r="Z47" s="19" t="str">
        <f t="shared" si="43"/>
        <v/>
      </c>
      <c r="AA47" s="19">
        <f t="shared" si="44"/>
        <v>0.43540738479622992</v>
      </c>
      <c r="AB47" s="19" t="s">
        <v>168</v>
      </c>
      <c r="AC47" s="19">
        <v>1174</v>
      </c>
      <c r="AD47" s="19">
        <v>510</v>
      </c>
      <c r="AE47" s="19">
        <v>21</v>
      </c>
      <c r="AF47" s="19">
        <v>13</v>
      </c>
      <c r="AG47" s="19">
        <v>11</v>
      </c>
      <c r="AH47" s="19">
        <v>10</v>
      </c>
      <c r="AI47" s="19">
        <v>10</v>
      </c>
      <c r="AJ47" s="19">
        <v>10</v>
      </c>
      <c r="AK47" s="19">
        <v>9</v>
      </c>
      <c r="AL47" s="19">
        <v>9</v>
      </c>
      <c r="AM47" s="19">
        <v>27</v>
      </c>
      <c r="AN47" s="19" t="s">
        <v>55</v>
      </c>
      <c r="AO47" s="19">
        <v>0</v>
      </c>
      <c r="AP47" s="19"/>
      <c r="AQ47" s="19"/>
      <c r="AR47" s="19"/>
    </row>
    <row r="48" spans="1:44" x14ac:dyDescent="0.3">
      <c r="A48" s="19" t="s">
        <v>189</v>
      </c>
      <c r="B48" s="19">
        <v>3</v>
      </c>
      <c r="C48" s="19" t="s">
        <v>53</v>
      </c>
      <c r="D48" s="19">
        <v>1</v>
      </c>
      <c r="E48" s="19">
        <v>6.5</v>
      </c>
      <c r="F48" s="19"/>
      <c r="G48" s="19">
        <v>100</v>
      </c>
      <c r="H48" s="19">
        <v>3</v>
      </c>
      <c r="I48" s="19"/>
      <c r="J48" s="19">
        <v>117</v>
      </c>
      <c r="K48" s="19" t="str">
        <f t="shared" si="36"/>
        <v/>
      </c>
      <c r="L48" s="19">
        <v>0.56000000000000005</v>
      </c>
      <c r="M48" s="19">
        <f t="shared" si="37"/>
        <v>1.6800000000000002</v>
      </c>
      <c r="N48" s="19">
        <v>3.59</v>
      </c>
      <c r="O48" s="19">
        <v>1.345</v>
      </c>
      <c r="P48" s="19">
        <v>12.487</v>
      </c>
      <c r="Q48" s="19">
        <f t="shared" si="38"/>
        <v>107712.02050132137</v>
      </c>
      <c r="R48" s="19">
        <v>12.89</v>
      </c>
      <c r="S48" s="19">
        <f t="shared" si="39"/>
        <v>16.795014999999999</v>
      </c>
      <c r="T48" s="19">
        <v>71.900000000000006</v>
      </c>
      <c r="U48" s="19">
        <f t="shared" si="40"/>
        <v>0.31067642963073172</v>
      </c>
      <c r="V48" s="19">
        <f t="shared" si="41"/>
        <v>5.2279701158300043</v>
      </c>
      <c r="W48" s="19">
        <f t="shared" si="42"/>
        <v>-2.1118869737083354</v>
      </c>
      <c r="X48" s="19"/>
      <c r="Y48" s="19"/>
      <c r="Z48" s="19" t="str">
        <f t="shared" si="43"/>
        <v/>
      </c>
      <c r="AA48" s="19">
        <f t="shared" si="44"/>
        <v>0.41501886106899882</v>
      </c>
      <c r="AB48" s="19" t="s">
        <v>168</v>
      </c>
      <c r="AC48" s="19">
        <v>1232</v>
      </c>
      <c r="AD48" s="19">
        <v>509</v>
      </c>
      <c r="AE48" s="19">
        <v>43</v>
      </c>
      <c r="AF48" s="19">
        <v>10</v>
      </c>
      <c r="AG48" s="19">
        <v>9</v>
      </c>
      <c r="AH48" s="19">
        <v>8</v>
      </c>
      <c r="AI48" s="19">
        <v>8</v>
      </c>
      <c r="AJ48" s="19">
        <v>8</v>
      </c>
      <c r="AK48" s="19">
        <v>8</v>
      </c>
      <c r="AL48" s="19">
        <v>8</v>
      </c>
      <c r="AM48" s="19">
        <v>31</v>
      </c>
      <c r="AN48" s="19" t="s">
        <v>55</v>
      </c>
      <c r="AO48" s="19">
        <v>0</v>
      </c>
      <c r="AP48" s="19"/>
      <c r="AQ48" s="19"/>
      <c r="AR48" s="19"/>
    </row>
    <row r="49" spans="1:44" x14ac:dyDescent="0.3">
      <c r="A49" s="19" t="s">
        <v>189</v>
      </c>
      <c r="B49" s="19">
        <v>4</v>
      </c>
      <c r="C49" s="19" t="s">
        <v>53</v>
      </c>
      <c r="D49" s="19">
        <v>1</v>
      </c>
      <c r="E49" s="19">
        <v>6.5</v>
      </c>
      <c r="F49" s="19"/>
      <c r="G49" s="19">
        <v>100</v>
      </c>
      <c r="H49" s="19">
        <v>4</v>
      </c>
      <c r="I49" s="19"/>
      <c r="J49" s="19">
        <v>141</v>
      </c>
      <c r="K49" s="19" t="str">
        <f t="shared" si="36"/>
        <v/>
      </c>
      <c r="L49" s="19">
        <v>0.8</v>
      </c>
      <c r="M49" s="19">
        <f t="shared" si="37"/>
        <v>3.2</v>
      </c>
      <c r="N49" s="19">
        <v>3.79</v>
      </c>
      <c r="O49" s="19">
        <v>1.4490000000000001</v>
      </c>
      <c r="P49" s="19">
        <v>15.483000000000001</v>
      </c>
      <c r="Q49" s="19">
        <f t="shared" si="38"/>
        <v>93586.514241426077</v>
      </c>
      <c r="R49" s="19">
        <v>16.16</v>
      </c>
      <c r="S49" s="19">
        <f t="shared" si="39"/>
        <v>22.434867000000001</v>
      </c>
      <c r="T49" s="19">
        <v>73.7</v>
      </c>
      <c r="U49" s="19">
        <f t="shared" si="40"/>
        <v>0.28066670892078793</v>
      </c>
      <c r="V49" s="19">
        <f t="shared" si="41"/>
        <v>6.310760751467777</v>
      </c>
      <c r="W49" s="19">
        <f t="shared" si="42"/>
        <v>-0.97211273483368021</v>
      </c>
      <c r="X49" s="19"/>
      <c r="Y49" s="19"/>
      <c r="Z49" s="19" t="str">
        <f t="shared" si="43"/>
        <v/>
      </c>
      <c r="AA49" s="19">
        <f t="shared" si="44"/>
        <v>0.37979209284577076</v>
      </c>
      <c r="AB49" s="19" t="s">
        <v>168</v>
      </c>
      <c r="AC49" s="19">
        <v>1343</v>
      </c>
      <c r="AD49" s="19">
        <v>505</v>
      </c>
      <c r="AE49" s="19">
        <v>61</v>
      </c>
      <c r="AF49" s="19">
        <v>28</v>
      </c>
      <c r="AG49" s="19">
        <v>15</v>
      </c>
      <c r="AH49" s="19">
        <v>10</v>
      </c>
      <c r="AI49" s="19">
        <v>9</v>
      </c>
      <c r="AJ49" s="19">
        <v>9</v>
      </c>
      <c r="AK49" s="19">
        <v>9</v>
      </c>
      <c r="AL49" s="19">
        <v>8</v>
      </c>
      <c r="AM49" s="19">
        <v>37</v>
      </c>
      <c r="AN49" s="19" t="s">
        <v>55</v>
      </c>
      <c r="AO49" s="19">
        <v>0</v>
      </c>
      <c r="AP49" s="19"/>
      <c r="AQ49" s="19"/>
      <c r="AR49" s="19"/>
    </row>
    <row r="50" spans="1:44" x14ac:dyDescent="0.3">
      <c r="A50" s="19" t="s">
        <v>189</v>
      </c>
      <c r="B50" s="19">
        <v>5</v>
      </c>
      <c r="C50" s="19" t="s">
        <v>53</v>
      </c>
      <c r="D50" s="19">
        <v>1</v>
      </c>
      <c r="E50" s="19">
        <v>6.5</v>
      </c>
      <c r="F50" s="19"/>
      <c r="G50" s="19">
        <v>100</v>
      </c>
      <c r="H50" s="19">
        <v>5</v>
      </c>
      <c r="I50" s="19"/>
      <c r="J50" s="19">
        <v>558</v>
      </c>
      <c r="K50" s="19" t="str">
        <f t="shared" si="36"/>
        <v/>
      </c>
      <c r="L50" s="19"/>
      <c r="M50" s="19">
        <f t="shared" si="37"/>
        <v>0</v>
      </c>
      <c r="N50" s="19"/>
      <c r="O50" s="19"/>
      <c r="P50" s="19"/>
      <c r="Q50" s="19" t="str">
        <f t="shared" si="38"/>
        <v/>
      </c>
      <c r="R50" s="19"/>
      <c r="S50" s="19" t="str">
        <f t="shared" si="39"/>
        <v/>
      </c>
      <c r="T50" s="19"/>
      <c r="U50" s="19" t="str">
        <f t="shared" si="40"/>
        <v/>
      </c>
      <c r="V50" s="19" t="str">
        <f t="shared" si="41"/>
        <v/>
      </c>
      <c r="W50" s="19" t="str">
        <f t="shared" si="42"/>
        <v/>
      </c>
      <c r="X50" s="19"/>
      <c r="Y50" s="19"/>
      <c r="Z50" s="19" t="str">
        <f t="shared" si="43"/>
        <v/>
      </c>
      <c r="AA50" s="19" t="str">
        <f t="shared" si="44"/>
        <v/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spans="1:44" x14ac:dyDescent="0.3">
      <c r="A51" s="19" t="s">
        <v>189</v>
      </c>
      <c r="B51" s="19">
        <v>6</v>
      </c>
      <c r="C51" s="19" t="s">
        <v>53</v>
      </c>
      <c r="D51" s="19">
        <v>1</v>
      </c>
      <c r="E51" s="19">
        <v>6.5</v>
      </c>
      <c r="F51" s="19"/>
      <c r="G51" s="19">
        <v>100</v>
      </c>
      <c r="H51" s="19">
        <v>6</v>
      </c>
      <c r="I51" s="19"/>
      <c r="J51" s="19"/>
      <c r="K51" s="19" t="str">
        <f t="shared" si="36"/>
        <v/>
      </c>
      <c r="L51" s="19"/>
      <c r="M51" s="19">
        <f t="shared" si="37"/>
        <v>0</v>
      </c>
      <c r="N51" s="19"/>
      <c r="O51" s="19"/>
      <c r="P51" s="19"/>
      <c r="Q51" s="19" t="str">
        <f t="shared" si="38"/>
        <v/>
      </c>
      <c r="R51" s="19"/>
      <c r="S51" s="19" t="str">
        <f t="shared" si="39"/>
        <v/>
      </c>
      <c r="T51" s="19"/>
      <c r="U51" s="19" t="str">
        <f t="shared" si="40"/>
        <v/>
      </c>
      <c r="V51" s="19" t="str">
        <f t="shared" si="41"/>
        <v/>
      </c>
      <c r="W51" s="19" t="str">
        <f t="shared" si="42"/>
        <v/>
      </c>
      <c r="X51" s="19"/>
      <c r="Y51" s="19"/>
      <c r="Z51" s="19" t="str">
        <f t="shared" si="43"/>
        <v/>
      </c>
      <c r="AA51" s="19" t="str">
        <f t="shared" si="44"/>
        <v/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spans="1:44" x14ac:dyDescent="0.3">
      <c r="A52" s="19" t="s">
        <v>189</v>
      </c>
      <c r="B52" s="19">
        <v>7</v>
      </c>
      <c r="C52" s="19" t="s">
        <v>53</v>
      </c>
      <c r="D52" s="19">
        <v>1</v>
      </c>
      <c r="E52" s="19">
        <v>6.5</v>
      </c>
      <c r="F52" s="19"/>
      <c r="G52" s="19">
        <v>100</v>
      </c>
      <c r="H52" s="19">
        <v>7</v>
      </c>
      <c r="I52" s="19"/>
      <c r="J52" s="19"/>
      <c r="K52" s="19" t="str">
        <f t="shared" si="36"/>
        <v/>
      </c>
      <c r="L52" s="19"/>
      <c r="M52" s="19">
        <f t="shared" si="37"/>
        <v>0</v>
      </c>
      <c r="N52" s="19"/>
      <c r="O52" s="19"/>
      <c r="P52" s="19"/>
      <c r="Q52" s="19" t="str">
        <f t="shared" si="38"/>
        <v/>
      </c>
      <c r="R52" s="19"/>
      <c r="S52" s="19" t="str">
        <f t="shared" si="39"/>
        <v/>
      </c>
      <c r="T52" s="19"/>
      <c r="U52" s="19" t="str">
        <f t="shared" si="40"/>
        <v/>
      </c>
      <c r="V52" s="19" t="str">
        <f t="shared" si="41"/>
        <v/>
      </c>
      <c r="W52" s="19" t="str">
        <f t="shared" si="42"/>
        <v/>
      </c>
      <c r="X52" s="19"/>
      <c r="Y52" s="19"/>
      <c r="Z52" s="19" t="str">
        <f t="shared" si="43"/>
        <v/>
      </c>
      <c r="AA52" s="19" t="str">
        <f t="shared" si="44"/>
        <v/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spans="1:44" x14ac:dyDescent="0.3">
      <c r="A53" s="19" t="s">
        <v>189</v>
      </c>
      <c r="B53" s="19">
        <v>8</v>
      </c>
      <c r="C53" s="19" t="s">
        <v>53</v>
      </c>
      <c r="D53" s="19">
        <v>1</v>
      </c>
      <c r="E53" s="19">
        <v>6.5</v>
      </c>
      <c r="F53" s="19"/>
      <c r="G53" s="19">
        <v>100</v>
      </c>
      <c r="H53" s="19">
        <v>8</v>
      </c>
      <c r="I53" s="19"/>
      <c r="J53" s="19"/>
      <c r="K53" s="19" t="str">
        <f t="shared" si="36"/>
        <v/>
      </c>
      <c r="L53" s="19"/>
      <c r="M53" s="19">
        <f t="shared" si="37"/>
        <v>0</v>
      </c>
      <c r="N53" s="19"/>
      <c r="O53" s="19"/>
      <c r="P53" s="19"/>
      <c r="Q53" s="19" t="str">
        <f t="shared" si="38"/>
        <v/>
      </c>
      <c r="R53" s="19"/>
      <c r="S53" s="19" t="str">
        <f t="shared" si="39"/>
        <v/>
      </c>
      <c r="T53" s="19"/>
      <c r="U53" s="19" t="str">
        <f t="shared" si="40"/>
        <v/>
      </c>
      <c r="V53" s="19" t="str">
        <f t="shared" si="41"/>
        <v/>
      </c>
      <c r="W53" s="19" t="str">
        <f t="shared" si="42"/>
        <v/>
      </c>
      <c r="X53" s="19"/>
      <c r="Y53" s="19"/>
      <c r="Z53" s="19" t="str">
        <f t="shared" si="43"/>
        <v/>
      </c>
      <c r="AA53" s="19" t="str">
        <f t="shared" si="44"/>
        <v/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spans="1:44" ht="18" customHeight="1" x14ac:dyDescent="0.3">
      <c r="A54" s="54" t="s">
        <v>190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</row>
    <row r="55" spans="1:44" x14ac:dyDescent="0.3">
      <c r="A55" s="19" t="s">
        <v>191</v>
      </c>
      <c r="B55" s="19">
        <v>1</v>
      </c>
      <c r="C55" s="19" t="s">
        <v>68</v>
      </c>
      <c r="D55" s="19">
        <v>1</v>
      </c>
      <c r="E55" s="19">
        <v>5</v>
      </c>
      <c r="F55" s="19">
        <v>1</v>
      </c>
      <c r="G55" s="19">
        <v>10</v>
      </c>
      <c r="H55" s="19"/>
      <c r="I55" s="19"/>
      <c r="J55" s="19"/>
      <c r="K55" s="19" t="str">
        <f t="shared" ref="K55:K62" si="45">IF(COUNT(J55,I55)=0,"",IFERROR(J55/1000/I55,""))</f>
        <v/>
      </c>
      <c r="L55" s="19"/>
      <c r="M55" s="19" t="str">
        <f t="shared" ref="M55:M62" si="46">IF(COUNT(H55,L55)=0,"",IFERROR(H55*L55,""))</f>
        <v/>
      </c>
      <c r="N55" s="19"/>
      <c r="O55" s="19"/>
      <c r="P55" s="19"/>
      <c r="Q55" s="19" t="str">
        <f t="shared" ref="Q55:Q62" si="47">IF(COUNT(O55,P55)=0,"",IFERROR(O55*1000/P55*1000,""))</f>
        <v/>
      </c>
      <c r="R55" s="19"/>
      <c r="S55" s="19" t="str">
        <f t="shared" ref="S55:S62" si="48">IF(COUNT(O55,P55)=0,"",IFERROR(O55*P55,""))</f>
        <v/>
      </c>
      <c r="T55" s="19"/>
      <c r="U55" s="19" t="str">
        <f t="shared" ref="U55:U62" si="49">IF(COUNT(T55)=0,"",IFERROR(COS(T55/180*PI()),""))</f>
        <v/>
      </c>
      <c r="V55" s="19" t="str">
        <f t="shared" ref="V55:V62" si="50">IF(COUNT(S55,T55)=0,"",IFERROR(S55*COS(T55/360*2*3.14),""))</f>
        <v/>
      </c>
      <c r="W55" s="19" t="str">
        <f t="shared" ref="W55:W62" si="51">IF(COUNT(V55,M55)=0,"",IFERROR(1-V55/M55,""))</f>
        <v/>
      </c>
      <c r="X55" s="19"/>
      <c r="Y55" s="19"/>
      <c r="Z55" s="19" t="str">
        <f t="shared" ref="Z55:Z62" si="52">IFERROR(IF(OR(V55="",X55="",X55=0),"",(V55-X55)/X55*100),"")</f>
        <v/>
      </c>
      <c r="AA55" s="19" t="str">
        <f t="shared" ref="AA55:AA62" si="53">IF(COUNT(AD55,AE55,AF55,AG55,AH55,AI55,AJ55,AK55,AL55,AC55)=0,"",IFERROR(SQRT(AD55^2+AE55^2+AF55^2+AG55^2+AH55^2+AI55^2+AJ55^2+AK55^2+AL55^2)/AC55,""))</f>
        <v/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spans="1:44" x14ac:dyDescent="0.3">
      <c r="A56" s="19" t="s">
        <v>191</v>
      </c>
      <c r="B56" s="19">
        <v>2</v>
      </c>
      <c r="C56" s="19" t="s">
        <v>68</v>
      </c>
      <c r="D56" s="19">
        <v>1</v>
      </c>
      <c r="E56" s="19">
        <v>5</v>
      </c>
      <c r="F56" s="19">
        <v>1</v>
      </c>
      <c r="G56" s="19">
        <v>10</v>
      </c>
      <c r="H56" s="19"/>
      <c r="I56" s="19"/>
      <c r="J56" s="19"/>
      <c r="K56" s="19" t="str">
        <f t="shared" si="45"/>
        <v/>
      </c>
      <c r="L56" s="19"/>
      <c r="M56" s="19" t="str">
        <f t="shared" si="46"/>
        <v/>
      </c>
      <c r="N56" s="19"/>
      <c r="O56" s="19"/>
      <c r="P56" s="19"/>
      <c r="Q56" s="19" t="str">
        <f t="shared" si="47"/>
        <v/>
      </c>
      <c r="R56" s="19"/>
      <c r="S56" s="19" t="str">
        <f t="shared" si="48"/>
        <v/>
      </c>
      <c r="T56" s="19"/>
      <c r="U56" s="19" t="str">
        <f t="shared" si="49"/>
        <v/>
      </c>
      <c r="V56" s="19" t="str">
        <f t="shared" si="50"/>
        <v/>
      </c>
      <c r="W56" s="19" t="str">
        <f t="shared" si="51"/>
        <v/>
      </c>
      <c r="X56" s="19"/>
      <c r="Y56" s="19"/>
      <c r="Z56" s="19" t="str">
        <f t="shared" si="52"/>
        <v/>
      </c>
      <c r="AA56" s="19" t="str">
        <f t="shared" si="53"/>
        <v/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spans="1:44" x14ac:dyDescent="0.3">
      <c r="A57" s="19" t="s">
        <v>191</v>
      </c>
      <c r="B57" s="19">
        <v>3</v>
      </c>
      <c r="C57" s="19" t="s">
        <v>68</v>
      </c>
      <c r="D57" s="19">
        <v>1</v>
      </c>
      <c r="E57" s="19">
        <v>5</v>
      </c>
      <c r="F57" s="19">
        <v>1</v>
      </c>
      <c r="G57" s="19">
        <v>10</v>
      </c>
      <c r="H57" s="19"/>
      <c r="I57" s="19"/>
      <c r="J57" s="19"/>
      <c r="K57" s="19" t="str">
        <f t="shared" si="45"/>
        <v/>
      </c>
      <c r="L57" s="19"/>
      <c r="M57" s="19" t="str">
        <f t="shared" si="46"/>
        <v/>
      </c>
      <c r="N57" s="19"/>
      <c r="O57" s="19"/>
      <c r="P57" s="19"/>
      <c r="Q57" s="19" t="str">
        <f t="shared" si="47"/>
        <v/>
      </c>
      <c r="R57" s="19"/>
      <c r="S57" s="19" t="str">
        <f t="shared" si="48"/>
        <v/>
      </c>
      <c r="T57" s="19"/>
      <c r="U57" s="19" t="str">
        <f t="shared" si="49"/>
        <v/>
      </c>
      <c r="V57" s="19" t="str">
        <f t="shared" si="50"/>
        <v/>
      </c>
      <c r="W57" s="19" t="str">
        <f t="shared" si="51"/>
        <v/>
      </c>
      <c r="X57" s="19"/>
      <c r="Y57" s="19"/>
      <c r="Z57" s="19" t="str">
        <f t="shared" si="52"/>
        <v/>
      </c>
      <c r="AA57" s="19" t="str">
        <f t="shared" si="53"/>
        <v/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spans="1:44" x14ac:dyDescent="0.3">
      <c r="A58" s="19" t="s">
        <v>191</v>
      </c>
      <c r="B58" s="19">
        <v>4</v>
      </c>
      <c r="C58" s="19" t="s">
        <v>68</v>
      </c>
      <c r="D58" s="19">
        <v>1</v>
      </c>
      <c r="E58" s="19">
        <v>5</v>
      </c>
      <c r="F58" s="19">
        <v>1</v>
      </c>
      <c r="G58" s="19">
        <v>10</v>
      </c>
      <c r="H58" s="19"/>
      <c r="I58" s="19"/>
      <c r="J58" s="19"/>
      <c r="K58" s="19" t="str">
        <f t="shared" si="45"/>
        <v/>
      </c>
      <c r="L58" s="19"/>
      <c r="M58" s="19" t="str">
        <f t="shared" si="46"/>
        <v/>
      </c>
      <c r="N58" s="19"/>
      <c r="O58" s="19"/>
      <c r="P58" s="19"/>
      <c r="Q58" s="19" t="str">
        <f t="shared" si="47"/>
        <v/>
      </c>
      <c r="R58" s="19"/>
      <c r="S58" s="19" t="str">
        <f t="shared" si="48"/>
        <v/>
      </c>
      <c r="T58" s="19"/>
      <c r="U58" s="19" t="str">
        <f t="shared" si="49"/>
        <v/>
      </c>
      <c r="V58" s="19" t="str">
        <f t="shared" si="50"/>
        <v/>
      </c>
      <c r="W58" s="19" t="str">
        <f t="shared" si="51"/>
        <v/>
      </c>
      <c r="X58" s="19"/>
      <c r="Y58" s="19"/>
      <c r="Z58" s="19" t="str">
        <f t="shared" si="52"/>
        <v/>
      </c>
      <c r="AA58" s="19" t="str">
        <f t="shared" si="53"/>
        <v/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spans="1:44" x14ac:dyDescent="0.3">
      <c r="A59" s="19" t="s">
        <v>191</v>
      </c>
      <c r="B59" s="19">
        <v>5</v>
      </c>
      <c r="C59" s="19" t="s">
        <v>68</v>
      </c>
      <c r="D59" s="19">
        <v>1</v>
      </c>
      <c r="E59" s="19">
        <v>5</v>
      </c>
      <c r="F59" s="19">
        <v>1</v>
      </c>
      <c r="G59" s="19">
        <v>10</v>
      </c>
      <c r="H59" s="19"/>
      <c r="I59" s="19"/>
      <c r="J59" s="19"/>
      <c r="K59" s="19" t="str">
        <f t="shared" si="45"/>
        <v/>
      </c>
      <c r="L59" s="19"/>
      <c r="M59" s="19" t="str">
        <f t="shared" si="46"/>
        <v/>
      </c>
      <c r="N59" s="19"/>
      <c r="O59" s="19"/>
      <c r="P59" s="19"/>
      <c r="Q59" s="19" t="str">
        <f t="shared" si="47"/>
        <v/>
      </c>
      <c r="R59" s="19"/>
      <c r="S59" s="19" t="str">
        <f t="shared" si="48"/>
        <v/>
      </c>
      <c r="T59" s="19"/>
      <c r="U59" s="19" t="str">
        <f t="shared" si="49"/>
        <v/>
      </c>
      <c r="V59" s="19" t="str">
        <f t="shared" si="50"/>
        <v/>
      </c>
      <c r="W59" s="19" t="str">
        <f t="shared" si="51"/>
        <v/>
      </c>
      <c r="X59" s="19"/>
      <c r="Y59" s="19"/>
      <c r="Z59" s="19" t="str">
        <f t="shared" si="52"/>
        <v/>
      </c>
      <c r="AA59" s="19" t="str">
        <f t="shared" si="53"/>
        <v/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spans="1:44" x14ac:dyDescent="0.3">
      <c r="A60" s="19" t="s">
        <v>191</v>
      </c>
      <c r="B60" s="19">
        <v>6</v>
      </c>
      <c r="C60" s="19" t="s">
        <v>68</v>
      </c>
      <c r="D60" s="19">
        <v>1</v>
      </c>
      <c r="E60" s="19">
        <v>5</v>
      </c>
      <c r="F60" s="19">
        <v>1</v>
      </c>
      <c r="G60" s="19">
        <v>10</v>
      </c>
      <c r="H60" s="19"/>
      <c r="I60" s="19"/>
      <c r="J60" s="19"/>
      <c r="K60" s="19" t="str">
        <f t="shared" si="45"/>
        <v/>
      </c>
      <c r="L60" s="19"/>
      <c r="M60" s="19" t="str">
        <f t="shared" si="46"/>
        <v/>
      </c>
      <c r="N60" s="19"/>
      <c r="O60" s="19"/>
      <c r="P60" s="19"/>
      <c r="Q60" s="19" t="str">
        <f t="shared" si="47"/>
        <v/>
      </c>
      <c r="R60" s="19"/>
      <c r="S60" s="19" t="str">
        <f t="shared" si="48"/>
        <v/>
      </c>
      <c r="T60" s="19"/>
      <c r="U60" s="19" t="str">
        <f t="shared" si="49"/>
        <v/>
      </c>
      <c r="V60" s="19" t="str">
        <f t="shared" si="50"/>
        <v/>
      </c>
      <c r="W60" s="19" t="str">
        <f t="shared" si="51"/>
        <v/>
      </c>
      <c r="X60" s="19"/>
      <c r="Y60" s="19"/>
      <c r="Z60" s="19" t="str">
        <f t="shared" si="52"/>
        <v/>
      </c>
      <c r="AA60" s="19" t="str">
        <f t="shared" si="53"/>
        <v/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spans="1:44" x14ac:dyDescent="0.3">
      <c r="A61" s="19" t="s">
        <v>191</v>
      </c>
      <c r="B61" s="19">
        <v>7</v>
      </c>
      <c r="C61" s="19" t="s">
        <v>68</v>
      </c>
      <c r="D61" s="19">
        <v>1</v>
      </c>
      <c r="E61" s="19">
        <v>5</v>
      </c>
      <c r="F61" s="19">
        <v>1</v>
      </c>
      <c r="G61" s="19">
        <v>10</v>
      </c>
      <c r="H61" s="19"/>
      <c r="I61" s="19"/>
      <c r="J61" s="19"/>
      <c r="K61" s="19" t="str">
        <f t="shared" si="45"/>
        <v/>
      </c>
      <c r="L61" s="19"/>
      <c r="M61" s="19" t="str">
        <f t="shared" si="46"/>
        <v/>
      </c>
      <c r="N61" s="19"/>
      <c r="O61" s="19"/>
      <c r="P61" s="19"/>
      <c r="Q61" s="19" t="str">
        <f t="shared" si="47"/>
        <v/>
      </c>
      <c r="R61" s="19"/>
      <c r="S61" s="19" t="str">
        <f t="shared" si="48"/>
        <v/>
      </c>
      <c r="T61" s="19"/>
      <c r="U61" s="19" t="str">
        <f t="shared" si="49"/>
        <v/>
      </c>
      <c r="V61" s="19" t="str">
        <f t="shared" si="50"/>
        <v/>
      </c>
      <c r="W61" s="19" t="str">
        <f t="shared" si="51"/>
        <v/>
      </c>
      <c r="X61" s="19"/>
      <c r="Y61" s="19"/>
      <c r="Z61" s="19" t="str">
        <f t="shared" si="52"/>
        <v/>
      </c>
      <c r="AA61" s="19" t="str">
        <f t="shared" si="53"/>
        <v/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spans="1:44" x14ac:dyDescent="0.3">
      <c r="A62" s="19" t="s">
        <v>191</v>
      </c>
      <c r="B62" s="19">
        <v>8</v>
      </c>
      <c r="C62" s="19" t="s">
        <v>68</v>
      </c>
      <c r="D62" s="19">
        <v>1</v>
      </c>
      <c r="E62" s="19">
        <v>5</v>
      </c>
      <c r="F62" s="19">
        <v>1</v>
      </c>
      <c r="G62" s="19">
        <v>10</v>
      </c>
      <c r="H62" s="19"/>
      <c r="I62" s="19"/>
      <c r="J62" s="19"/>
      <c r="K62" s="19" t="str">
        <f t="shared" si="45"/>
        <v/>
      </c>
      <c r="L62" s="19"/>
      <c r="M62" s="19" t="str">
        <f t="shared" si="46"/>
        <v/>
      </c>
      <c r="N62" s="19"/>
      <c r="O62" s="19"/>
      <c r="P62" s="19"/>
      <c r="Q62" s="19" t="str">
        <f t="shared" si="47"/>
        <v/>
      </c>
      <c r="R62" s="19"/>
      <c r="S62" s="19" t="str">
        <f t="shared" si="48"/>
        <v/>
      </c>
      <c r="T62" s="19"/>
      <c r="U62" s="19" t="str">
        <f t="shared" si="49"/>
        <v/>
      </c>
      <c r="V62" s="19" t="str">
        <f t="shared" si="50"/>
        <v/>
      </c>
      <c r="W62" s="19" t="str">
        <f t="shared" si="51"/>
        <v/>
      </c>
      <c r="X62" s="19"/>
      <c r="Y62" s="19"/>
      <c r="Z62" s="19" t="str">
        <f t="shared" si="52"/>
        <v/>
      </c>
      <c r="AA62" s="19" t="str">
        <f t="shared" si="53"/>
        <v/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spans="1:44" ht="18" customHeight="1" x14ac:dyDescent="0.3">
      <c r="A63" s="54" t="s">
        <v>192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</row>
    <row r="64" spans="1:44" x14ac:dyDescent="0.3">
      <c r="A64" s="19" t="s">
        <v>193</v>
      </c>
      <c r="B64" s="19">
        <v>1</v>
      </c>
      <c r="C64" s="19" t="s">
        <v>53</v>
      </c>
      <c r="D64" s="19">
        <v>1</v>
      </c>
      <c r="E64" s="19">
        <v>5</v>
      </c>
      <c r="F64" s="19"/>
      <c r="G64" s="19">
        <v>50</v>
      </c>
      <c r="H64" s="19"/>
      <c r="I64" s="19"/>
      <c r="J64" s="19"/>
      <c r="K64" s="19" t="str">
        <f t="shared" ref="K64:K75" si="54">IF(COUNT(J64,I64)=0,"",IFERROR(J64/1000/I64,""))</f>
        <v/>
      </c>
      <c r="L64" s="19"/>
      <c r="M64" s="19" t="str">
        <f t="shared" ref="M64:M75" si="55">IF(COUNT(H64,L64)=0,"",IFERROR(H64*L64,""))</f>
        <v/>
      </c>
      <c r="N64" s="19"/>
      <c r="O64" s="19"/>
      <c r="P64" s="19"/>
      <c r="Q64" s="19" t="str">
        <f t="shared" ref="Q64:Q75" si="56">IF(COUNT(O64,P64)=0,"",IFERROR(O64*1000/P64*1000,""))</f>
        <v/>
      </c>
      <c r="R64" s="19"/>
      <c r="S64" s="19" t="str">
        <f t="shared" ref="S64:S75" si="57">IF(COUNT(O64,P64)=0,"",IFERROR(O64*P64,""))</f>
        <v/>
      </c>
      <c r="T64" s="19"/>
      <c r="U64" s="19" t="str">
        <f t="shared" ref="U64:U75" si="58">IF(COUNT(T64)=0,"",IFERROR(COS(T64/180*PI()),""))</f>
        <v/>
      </c>
      <c r="V64" s="19" t="str">
        <f t="shared" ref="V64:V75" si="59">IF(COUNT(S64,T64)=0,"",IFERROR(S64*COS(T64/360*2*3.14),""))</f>
        <v/>
      </c>
      <c r="W64" s="19" t="str">
        <f t="shared" ref="W64:W75" si="60">IF(COUNT(V64,M64)=0,"",IFERROR(1-V64/M64,""))</f>
        <v/>
      </c>
      <c r="X64" s="19"/>
      <c r="Y64" s="19"/>
      <c r="Z64" s="19" t="str">
        <f t="shared" ref="Z64:Z75" si="61">IFERROR(IF(OR(V64="",X64="",X64=0),"",(V64-X64)/X64*100),"")</f>
        <v/>
      </c>
      <c r="AA64" s="19" t="str">
        <f t="shared" ref="AA64:AA75" si="62">IF(COUNT(AD64,AE64,AF64,AG64,AH64,AI64,AJ64,AK64,AL64,AC64)=0,"",IFERROR(SQRT(AD64^2+AE64^2+AF64^2+AG64^2+AH64^2+AI64^2+AJ64^2+AK64^2+AL64^2)/AC64,""))</f>
        <v/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spans="1:44" x14ac:dyDescent="0.3">
      <c r="A65" s="19" t="s">
        <v>193</v>
      </c>
      <c r="B65" s="19">
        <v>2</v>
      </c>
      <c r="C65" s="19" t="s">
        <v>53</v>
      </c>
      <c r="D65" s="19">
        <v>1</v>
      </c>
      <c r="E65" s="19">
        <v>5</v>
      </c>
      <c r="F65" s="19"/>
      <c r="G65" s="19">
        <v>50</v>
      </c>
      <c r="H65" s="19"/>
      <c r="I65" s="19"/>
      <c r="J65" s="19"/>
      <c r="K65" s="19" t="str">
        <f t="shared" si="54"/>
        <v/>
      </c>
      <c r="L65" s="19"/>
      <c r="M65" s="19" t="str">
        <f t="shared" si="55"/>
        <v/>
      </c>
      <c r="N65" s="19"/>
      <c r="O65" s="19"/>
      <c r="P65" s="19"/>
      <c r="Q65" s="19" t="str">
        <f t="shared" si="56"/>
        <v/>
      </c>
      <c r="R65" s="19"/>
      <c r="S65" s="19" t="str">
        <f t="shared" si="57"/>
        <v/>
      </c>
      <c r="T65" s="19"/>
      <c r="U65" s="19" t="str">
        <f t="shared" si="58"/>
        <v/>
      </c>
      <c r="V65" s="19" t="str">
        <f t="shared" si="59"/>
        <v/>
      </c>
      <c r="W65" s="19" t="str">
        <f t="shared" si="60"/>
        <v/>
      </c>
      <c r="X65" s="19"/>
      <c r="Y65" s="19"/>
      <c r="Z65" s="19" t="str">
        <f t="shared" si="61"/>
        <v/>
      </c>
      <c r="AA65" s="19" t="str">
        <f t="shared" si="62"/>
        <v/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spans="1:44" x14ac:dyDescent="0.3">
      <c r="A66" s="19" t="s">
        <v>193</v>
      </c>
      <c r="B66" s="19">
        <v>3</v>
      </c>
      <c r="C66" s="19" t="s">
        <v>53</v>
      </c>
      <c r="D66" s="19">
        <v>1</v>
      </c>
      <c r="E66" s="19">
        <v>5</v>
      </c>
      <c r="F66" s="19"/>
      <c r="G66" s="19">
        <v>50</v>
      </c>
      <c r="H66" s="19"/>
      <c r="I66" s="19"/>
      <c r="J66" s="19"/>
      <c r="K66" s="19" t="str">
        <f t="shared" si="54"/>
        <v/>
      </c>
      <c r="L66" s="19"/>
      <c r="M66" s="19" t="str">
        <f t="shared" si="55"/>
        <v/>
      </c>
      <c r="N66" s="19"/>
      <c r="O66" s="19"/>
      <c r="P66" s="19"/>
      <c r="Q66" s="19" t="str">
        <f t="shared" si="56"/>
        <v/>
      </c>
      <c r="R66" s="19"/>
      <c r="S66" s="19" t="str">
        <f t="shared" si="57"/>
        <v/>
      </c>
      <c r="T66" s="19"/>
      <c r="U66" s="19" t="str">
        <f t="shared" si="58"/>
        <v/>
      </c>
      <c r="V66" s="19" t="str">
        <f t="shared" si="59"/>
        <v/>
      </c>
      <c r="W66" s="19" t="str">
        <f t="shared" si="60"/>
        <v/>
      </c>
      <c r="X66" s="19"/>
      <c r="Y66" s="19"/>
      <c r="Z66" s="19" t="str">
        <f t="shared" si="61"/>
        <v/>
      </c>
      <c r="AA66" s="19" t="str">
        <f t="shared" si="62"/>
        <v/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spans="1:44" x14ac:dyDescent="0.3">
      <c r="A67" s="19" t="s">
        <v>193</v>
      </c>
      <c r="B67" s="19">
        <v>4</v>
      </c>
      <c r="C67" s="19" t="s">
        <v>53</v>
      </c>
      <c r="D67" s="19">
        <v>1</v>
      </c>
      <c r="E67" s="19">
        <v>5</v>
      </c>
      <c r="F67" s="19"/>
      <c r="G67" s="19">
        <v>50</v>
      </c>
      <c r="H67" s="19"/>
      <c r="I67" s="19"/>
      <c r="J67" s="19"/>
      <c r="K67" s="19" t="str">
        <f t="shared" si="54"/>
        <v/>
      </c>
      <c r="L67" s="19"/>
      <c r="M67" s="19" t="str">
        <f t="shared" si="55"/>
        <v/>
      </c>
      <c r="N67" s="19"/>
      <c r="O67" s="19"/>
      <c r="P67" s="19"/>
      <c r="Q67" s="19" t="str">
        <f t="shared" si="56"/>
        <v/>
      </c>
      <c r="R67" s="19"/>
      <c r="S67" s="19" t="str">
        <f t="shared" si="57"/>
        <v/>
      </c>
      <c r="T67" s="19"/>
      <c r="U67" s="19" t="str">
        <f t="shared" si="58"/>
        <v/>
      </c>
      <c r="V67" s="19" t="str">
        <f t="shared" si="59"/>
        <v/>
      </c>
      <c r="W67" s="19" t="str">
        <f t="shared" si="60"/>
        <v/>
      </c>
      <c r="X67" s="19"/>
      <c r="Y67" s="19"/>
      <c r="Z67" s="19" t="str">
        <f t="shared" si="61"/>
        <v/>
      </c>
      <c r="AA67" s="19" t="str">
        <f t="shared" si="62"/>
        <v/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spans="1:44" x14ac:dyDescent="0.3">
      <c r="A68" s="19" t="s">
        <v>193</v>
      </c>
      <c r="B68" s="19">
        <v>5</v>
      </c>
      <c r="C68" s="19" t="s">
        <v>53</v>
      </c>
      <c r="D68" s="19">
        <v>1</v>
      </c>
      <c r="E68" s="19">
        <v>5</v>
      </c>
      <c r="F68" s="19"/>
      <c r="G68" s="19">
        <v>50</v>
      </c>
      <c r="H68" s="19"/>
      <c r="I68" s="19"/>
      <c r="J68" s="19"/>
      <c r="K68" s="19" t="str">
        <f t="shared" si="54"/>
        <v/>
      </c>
      <c r="L68" s="19"/>
      <c r="M68" s="19" t="str">
        <f t="shared" si="55"/>
        <v/>
      </c>
      <c r="N68" s="19"/>
      <c r="O68" s="19"/>
      <c r="P68" s="19"/>
      <c r="Q68" s="19" t="str">
        <f t="shared" si="56"/>
        <v/>
      </c>
      <c r="R68" s="19"/>
      <c r="S68" s="19" t="str">
        <f t="shared" si="57"/>
        <v/>
      </c>
      <c r="T68" s="19"/>
      <c r="U68" s="19" t="str">
        <f t="shared" si="58"/>
        <v/>
      </c>
      <c r="V68" s="19" t="str">
        <f t="shared" si="59"/>
        <v/>
      </c>
      <c r="W68" s="19" t="str">
        <f t="shared" si="60"/>
        <v/>
      </c>
      <c r="X68" s="19"/>
      <c r="Y68" s="19"/>
      <c r="Z68" s="19" t="str">
        <f t="shared" si="61"/>
        <v/>
      </c>
      <c r="AA68" s="19" t="str">
        <f t="shared" si="62"/>
        <v/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spans="1:44" x14ac:dyDescent="0.3">
      <c r="A69" s="19" t="s">
        <v>193</v>
      </c>
      <c r="B69" s="19">
        <v>6</v>
      </c>
      <c r="C69" s="19" t="s">
        <v>53</v>
      </c>
      <c r="D69" s="19">
        <v>1</v>
      </c>
      <c r="E69" s="19">
        <v>5</v>
      </c>
      <c r="F69" s="19"/>
      <c r="G69" s="19">
        <v>50</v>
      </c>
      <c r="H69" s="19"/>
      <c r="I69" s="19"/>
      <c r="J69" s="19"/>
      <c r="K69" s="19" t="str">
        <f t="shared" si="54"/>
        <v/>
      </c>
      <c r="L69" s="19"/>
      <c r="M69" s="19" t="str">
        <f t="shared" si="55"/>
        <v/>
      </c>
      <c r="N69" s="19"/>
      <c r="O69" s="19"/>
      <c r="P69" s="19"/>
      <c r="Q69" s="19" t="str">
        <f t="shared" si="56"/>
        <v/>
      </c>
      <c r="R69" s="19"/>
      <c r="S69" s="19" t="str">
        <f t="shared" si="57"/>
        <v/>
      </c>
      <c r="T69" s="19"/>
      <c r="U69" s="19" t="str">
        <f t="shared" si="58"/>
        <v/>
      </c>
      <c r="V69" s="19" t="str">
        <f t="shared" si="59"/>
        <v/>
      </c>
      <c r="W69" s="19" t="str">
        <f t="shared" si="60"/>
        <v/>
      </c>
      <c r="X69" s="19"/>
      <c r="Y69" s="19"/>
      <c r="Z69" s="19" t="str">
        <f t="shared" si="61"/>
        <v/>
      </c>
      <c r="AA69" s="19" t="str">
        <f t="shared" si="62"/>
        <v/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spans="1:44" x14ac:dyDescent="0.3">
      <c r="A70" s="19" t="s">
        <v>193</v>
      </c>
      <c r="B70" s="19">
        <v>7</v>
      </c>
      <c r="C70" s="19" t="s">
        <v>53</v>
      </c>
      <c r="D70" s="19">
        <v>1</v>
      </c>
      <c r="E70" s="19">
        <v>5</v>
      </c>
      <c r="F70" s="19"/>
      <c r="G70" s="19">
        <v>50</v>
      </c>
      <c r="H70" s="19"/>
      <c r="I70" s="19"/>
      <c r="J70" s="19"/>
      <c r="K70" s="19" t="str">
        <f t="shared" si="54"/>
        <v/>
      </c>
      <c r="L70" s="19"/>
      <c r="M70" s="19" t="str">
        <f t="shared" si="55"/>
        <v/>
      </c>
      <c r="N70" s="19"/>
      <c r="O70" s="19"/>
      <c r="P70" s="19"/>
      <c r="Q70" s="19" t="str">
        <f t="shared" si="56"/>
        <v/>
      </c>
      <c r="R70" s="19"/>
      <c r="S70" s="19" t="str">
        <f t="shared" si="57"/>
        <v/>
      </c>
      <c r="T70" s="19"/>
      <c r="U70" s="19" t="str">
        <f t="shared" si="58"/>
        <v/>
      </c>
      <c r="V70" s="19" t="str">
        <f t="shared" si="59"/>
        <v/>
      </c>
      <c r="W70" s="19" t="str">
        <f t="shared" si="60"/>
        <v/>
      </c>
      <c r="X70" s="19"/>
      <c r="Y70" s="19"/>
      <c r="Z70" s="19" t="str">
        <f t="shared" si="61"/>
        <v/>
      </c>
      <c r="AA70" s="19" t="str">
        <f t="shared" si="62"/>
        <v/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spans="1:44" x14ac:dyDescent="0.3">
      <c r="A71" s="19" t="s">
        <v>193</v>
      </c>
      <c r="B71" s="19">
        <v>8</v>
      </c>
      <c r="C71" s="19" t="s">
        <v>53</v>
      </c>
      <c r="D71" s="19">
        <v>1</v>
      </c>
      <c r="E71" s="19">
        <v>5</v>
      </c>
      <c r="F71" s="19"/>
      <c r="G71" s="19">
        <v>50</v>
      </c>
      <c r="H71" s="19"/>
      <c r="I71" s="19"/>
      <c r="J71" s="19"/>
      <c r="K71" s="19" t="str">
        <f t="shared" si="54"/>
        <v/>
      </c>
      <c r="L71" s="19"/>
      <c r="M71" s="19" t="str">
        <f t="shared" si="55"/>
        <v/>
      </c>
      <c r="N71" s="19"/>
      <c r="O71" s="19"/>
      <c r="P71" s="19"/>
      <c r="Q71" s="19" t="str">
        <f t="shared" si="56"/>
        <v/>
      </c>
      <c r="R71" s="19"/>
      <c r="S71" s="19" t="str">
        <f t="shared" si="57"/>
        <v/>
      </c>
      <c r="T71" s="19"/>
      <c r="U71" s="19" t="str">
        <f t="shared" si="58"/>
        <v/>
      </c>
      <c r="V71" s="19" t="str">
        <f t="shared" si="59"/>
        <v/>
      </c>
      <c r="W71" s="19" t="str">
        <f t="shared" si="60"/>
        <v/>
      </c>
      <c r="X71" s="19"/>
      <c r="Y71" s="19"/>
      <c r="Z71" s="19" t="str">
        <f t="shared" si="61"/>
        <v/>
      </c>
      <c r="AA71" s="19" t="str">
        <f t="shared" si="62"/>
        <v/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spans="1:44" x14ac:dyDescent="0.3">
      <c r="A72" s="19" t="s">
        <v>193</v>
      </c>
      <c r="B72" s="19">
        <v>9</v>
      </c>
      <c r="C72" s="19" t="s">
        <v>53</v>
      </c>
      <c r="D72" s="19">
        <v>1</v>
      </c>
      <c r="E72" s="19">
        <v>5</v>
      </c>
      <c r="F72" s="19"/>
      <c r="G72" s="19">
        <v>50</v>
      </c>
      <c r="H72" s="19"/>
      <c r="I72" s="19"/>
      <c r="J72" s="19"/>
      <c r="K72" s="19" t="str">
        <f t="shared" si="54"/>
        <v/>
      </c>
      <c r="L72" s="19"/>
      <c r="M72" s="19" t="str">
        <f t="shared" si="55"/>
        <v/>
      </c>
      <c r="N72" s="19"/>
      <c r="O72" s="19"/>
      <c r="P72" s="19"/>
      <c r="Q72" s="19" t="str">
        <f t="shared" si="56"/>
        <v/>
      </c>
      <c r="R72" s="19"/>
      <c r="S72" s="19" t="str">
        <f t="shared" si="57"/>
        <v/>
      </c>
      <c r="T72" s="19"/>
      <c r="U72" s="19" t="str">
        <f t="shared" si="58"/>
        <v/>
      </c>
      <c r="V72" s="19" t="str">
        <f t="shared" si="59"/>
        <v/>
      </c>
      <c r="W72" s="19" t="str">
        <f t="shared" si="60"/>
        <v/>
      </c>
      <c r="X72" s="19"/>
      <c r="Y72" s="19"/>
      <c r="Z72" s="19" t="str">
        <f t="shared" si="61"/>
        <v/>
      </c>
      <c r="AA72" s="19" t="str">
        <f t="shared" si="62"/>
        <v/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spans="1:44" x14ac:dyDescent="0.3">
      <c r="A73" s="19" t="s">
        <v>193</v>
      </c>
      <c r="B73" s="19">
        <v>10</v>
      </c>
      <c r="C73" s="19" t="s">
        <v>53</v>
      </c>
      <c r="D73" s="19">
        <v>1</v>
      </c>
      <c r="E73" s="19">
        <v>5</v>
      </c>
      <c r="F73" s="19"/>
      <c r="G73" s="19">
        <v>50</v>
      </c>
      <c r="H73" s="19"/>
      <c r="I73" s="19"/>
      <c r="J73" s="19"/>
      <c r="K73" s="19" t="str">
        <f t="shared" si="54"/>
        <v/>
      </c>
      <c r="L73" s="19"/>
      <c r="M73" s="19" t="str">
        <f t="shared" si="55"/>
        <v/>
      </c>
      <c r="N73" s="19"/>
      <c r="O73" s="19"/>
      <c r="P73" s="19"/>
      <c r="Q73" s="19" t="str">
        <f t="shared" si="56"/>
        <v/>
      </c>
      <c r="R73" s="19"/>
      <c r="S73" s="19" t="str">
        <f t="shared" si="57"/>
        <v/>
      </c>
      <c r="T73" s="19"/>
      <c r="U73" s="19" t="str">
        <f t="shared" si="58"/>
        <v/>
      </c>
      <c r="V73" s="19" t="str">
        <f t="shared" si="59"/>
        <v/>
      </c>
      <c r="W73" s="19" t="str">
        <f t="shared" si="60"/>
        <v/>
      </c>
      <c r="X73" s="19"/>
      <c r="Y73" s="19"/>
      <c r="Z73" s="19" t="str">
        <f t="shared" si="61"/>
        <v/>
      </c>
      <c r="AA73" s="19" t="str">
        <f t="shared" si="62"/>
        <v/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spans="1:44" x14ac:dyDescent="0.3">
      <c r="A74" s="19" t="s">
        <v>193</v>
      </c>
      <c r="B74" s="19">
        <v>11</v>
      </c>
      <c r="C74" s="19" t="s">
        <v>53</v>
      </c>
      <c r="D74" s="19">
        <v>1</v>
      </c>
      <c r="E74" s="19">
        <v>5</v>
      </c>
      <c r="F74" s="19"/>
      <c r="G74" s="19">
        <v>50</v>
      </c>
      <c r="H74" s="19"/>
      <c r="I74" s="19"/>
      <c r="J74" s="19"/>
      <c r="K74" s="19" t="str">
        <f t="shared" si="54"/>
        <v/>
      </c>
      <c r="L74" s="19"/>
      <c r="M74" s="19" t="str">
        <f t="shared" si="55"/>
        <v/>
      </c>
      <c r="N74" s="19"/>
      <c r="O74" s="19"/>
      <c r="P74" s="19"/>
      <c r="Q74" s="19" t="str">
        <f t="shared" si="56"/>
        <v/>
      </c>
      <c r="R74" s="19"/>
      <c r="S74" s="19" t="str">
        <f t="shared" si="57"/>
        <v/>
      </c>
      <c r="T74" s="19"/>
      <c r="U74" s="19" t="str">
        <f t="shared" si="58"/>
        <v/>
      </c>
      <c r="V74" s="19" t="str">
        <f t="shared" si="59"/>
        <v/>
      </c>
      <c r="W74" s="19" t="str">
        <f t="shared" si="60"/>
        <v/>
      </c>
      <c r="X74" s="19"/>
      <c r="Y74" s="19"/>
      <c r="Z74" s="19" t="str">
        <f t="shared" si="61"/>
        <v/>
      </c>
      <c r="AA74" s="19" t="str">
        <f t="shared" si="62"/>
        <v/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spans="1:44" x14ac:dyDescent="0.3">
      <c r="A75" s="19" t="s">
        <v>193</v>
      </c>
      <c r="B75" s="19">
        <v>12</v>
      </c>
      <c r="C75" s="19" t="s">
        <v>53</v>
      </c>
      <c r="D75" s="19">
        <v>1</v>
      </c>
      <c r="E75" s="19">
        <v>5</v>
      </c>
      <c r="F75" s="19"/>
      <c r="G75" s="19">
        <v>50</v>
      </c>
      <c r="H75" s="19"/>
      <c r="I75" s="19"/>
      <c r="J75" s="19"/>
      <c r="K75" s="19" t="str">
        <f t="shared" si="54"/>
        <v/>
      </c>
      <c r="L75" s="19"/>
      <c r="M75" s="19" t="str">
        <f t="shared" si="55"/>
        <v/>
      </c>
      <c r="N75" s="19"/>
      <c r="O75" s="19"/>
      <c r="P75" s="19"/>
      <c r="Q75" s="19" t="str">
        <f t="shared" si="56"/>
        <v/>
      </c>
      <c r="R75" s="19"/>
      <c r="S75" s="19" t="str">
        <f t="shared" si="57"/>
        <v/>
      </c>
      <c r="T75" s="19"/>
      <c r="U75" s="19" t="str">
        <f t="shared" si="58"/>
        <v/>
      </c>
      <c r="V75" s="19" t="str">
        <f t="shared" si="59"/>
        <v/>
      </c>
      <c r="W75" s="19" t="str">
        <f t="shared" si="60"/>
        <v/>
      </c>
      <c r="X75" s="19"/>
      <c r="Y75" s="19"/>
      <c r="Z75" s="19" t="str">
        <f t="shared" si="61"/>
        <v/>
      </c>
      <c r="AA75" s="19" t="str">
        <f t="shared" si="62"/>
        <v/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</sheetData>
  <mergeCells count="16">
    <mergeCell ref="A54:AR54"/>
    <mergeCell ref="A63:AR63"/>
    <mergeCell ref="AQ2:AR2"/>
    <mergeCell ref="R2:Z2"/>
    <mergeCell ref="AA2:AL2"/>
    <mergeCell ref="A2:H2"/>
    <mergeCell ref="A32:AR32"/>
    <mergeCell ref="A13:AR13"/>
    <mergeCell ref="I2:M2"/>
    <mergeCell ref="AM2:AP2"/>
    <mergeCell ref="A1:AR1"/>
    <mergeCell ref="A45:AR45"/>
    <mergeCell ref="N2:Q2"/>
    <mergeCell ref="A22:AR22"/>
    <mergeCell ref="A4:AR4"/>
    <mergeCell ref="A39:AR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AR40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N22" sqref="N22"/>
    </sheetView>
  </sheetViews>
  <sheetFormatPr baseColWidth="10" defaultColWidth="8.88671875" defaultRowHeight="14.4" x14ac:dyDescent="0.3"/>
  <cols>
    <col min="1" max="1" width="22" customWidth="1"/>
    <col min="2" max="2" width="7" customWidth="1"/>
    <col min="3" max="3" width="9" customWidth="1"/>
    <col min="4" max="7" width="10" customWidth="1"/>
    <col min="8" max="8" width="12" customWidth="1"/>
    <col min="11" max="11" width="8.88671875" style="50"/>
  </cols>
  <sheetData>
    <row r="1" spans="1:44" ht="15.6" customHeight="1" x14ac:dyDescent="0.3">
      <c r="A1" s="58" t="s">
        <v>76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</row>
    <row r="2" spans="1:44" ht="13.95" customHeight="1" x14ac:dyDescent="0.3">
      <c r="A2" s="57" t="s">
        <v>27</v>
      </c>
      <c r="B2" s="55"/>
      <c r="C2" s="55"/>
      <c r="D2" s="55"/>
      <c r="E2" s="55"/>
      <c r="F2" s="55"/>
      <c r="G2" s="55"/>
      <c r="H2" s="55"/>
      <c r="I2" s="57" t="s">
        <v>127</v>
      </c>
      <c r="J2" s="55"/>
      <c r="K2" s="55"/>
      <c r="L2" s="55"/>
      <c r="M2" s="55"/>
      <c r="N2" s="57" t="s">
        <v>128</v>
      </c>
      <c r="O2" s="55"/>
      <c r="P2" s="55"/>
      <c r="Q2" s="55"/>
      <c r="R2" s="57" t="s">
        <v>129</v>
      </c>
      <c r="S2" s="55"/>
      <c r="T2" s="55"/>
      <c r="U2" s="55"/>
      <c r="V2" s="55"/>
      <c r="W2" s="55"/>
      <c r="X2" s="55"/>
      <c r="Y2" s="55"/>
      <c r="Z2" s="55"/>
      <c r="AA2" s="57" t="s">
        <v>130</v>
      </c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7" t="s">
        <v>131</v>
      </c>
      <c r="AN2" s="55"/>
      <c r="AO2" s="55"/>
      <c r="AP2" s="55"/>
      <c r="AQ2" s="57" t="s">
        <v>132</v>
      </c>
      <c r="AR2" s="55"/>
    </row>
    <row r="3" spans="1:44" ht="31.95" customHeight="1" x14ac:dyDescent="0.3">
      <c r="A3" s="12" t="s">
        <v>133</v>
      </c>
      <c r="B3" s="12" t="s">
        <v>134</v>
      </c>
      <c r="C3" s="12" t="s">
        <v>28</v>
      </c>
      <c r="D3" s="12" t="s">
        <v>135</v>
      </c>
      <c r="E3" s="12" t="s">
        <v>136</v>
      </c>
      <c r="F3" s="12" t="s">
        <v>29</v>
      </c>
      <c r="G3" s="12" t="s">
        <v>30</v>
      </c>
      <c r="H3" s="12" t="s">
        <v>137</v>
      </c>
      <c r="I3" s="13" t="s">
        <v>31</v>
      </c>
      <c r="J3" s="13" t="s">
        <v>32</v>
      </c>
      <c r="K3" s="51" t="s">
        <v>33</v>
      </c>
      <c r="L3" s="13" t="s">
        <v>138</v>
      </c>
      <c r="M3" s="13" t="s">
        <v>6</v>
      </c>
      <c r="N3" s="14" t="s">
        <v>139</v>
      </c>
      <c r="O3" s="14" t="s">
        <v>140</v>
      </c>
      <c r="P3" s="14" t="s">
        <v>3</v>
      </c>
      <c r="Q3" s="14" t="s">
        <v>34</v>
      </c>
      <c r="R3" s="15" t="s">
        <v>35</v>
      </c>
      <c r="S3" s="15" t="s">
        <v>36</v>
      </c>
      <c r="T3" s="15" t="s">
        <v>4</v>
      </c>
      <c r="U3" s="15" t="s">
        <v>37</v>
      </c>
      <c r="V3" s="15" t="s">
        <v>38</v>
      </c>
      <c r="W3" s="15" t="s">
        <v>141</v>
      </c>
      <c r="X3" s="15" t="s">
        <v>5</v>
      </c>
      <c r="Y3" s="15" t="s">
        <v>39</v>
      </c>
      <c r="Z3" s="15" t="s">
        <v>142</v>
      </c>
      <c r="AA3" s="16" t="s">
        <v>40</v>
      </c>
      <c r="AB3" s="16" t="s">
        <v>143</v>
      </c>
      <c r="AC3" s="16" t="s">
        <v>41</v>
      </c>
      <c r="AD3" s="16" t="s">
        <v>42</v>
      </c>
      <c r="AE3" s="16" t="s">
        <v>43</v>
      </c>
      <c r="AF3" s="16" t="s">
        <v>44</v>
      </c>
      <c r="AG3" s="16" t="s">
        <v>45</v>
      </c>
      <c r="AH3" s="16" t="s">
        <v>46</v>
      </c>
      <c r="AI3" s="16" t="s">
        <v>47</v>
      </c>
      <c r="AJ3" s="16" t="s">
        <v>48</v>
      </c>
      <c r="AK3" s="16" t="s">
        <v>49</v>
      </c>
      <c r="AL3" s="16" t="s">
        <v>50</v>
      </c>
      <c r="AM3" s="17" t="s">
        <v>51</v>
      </c>
      <c r="AN3" s="17" t="s">
        <v>144</v>
      </c>
      <c r="AO3" s="17" t="s">
        <v>145</v>
      </c>
      <c r="AP3" s="17" t="s">
        <v>146</v>
      </c>
      <c r="AQ3" s="18" t="s">
        <v>52</v>
      </c>
      <c r="AR3" s="18" t="s">
        <v>2</v>
      </c>
    </row>
    <row r="4" spans="1:44" ht="18" customHeight="1" x14ac:dyDescent="0.3">
      <c r="A4" s="59" t="s">
        <v>194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</row>
    <row r="5" spans="1:44" x14ac:dyDescent="0.3">
      <c r="A5" s="19" t="s">
        <v>148</v>
      </c>
      <c r="B5" s="19">
        <v>1</v>
      </c>
      <c r="C5" s="19" t="s">
        <v>53</v>
      </c>
      <c r="D5" s="19">
        <v>3</v>
      </c>
      <c r="E5" s="19">
        <v>2</v>
      </c>
      <c r="F5" s="19"/>
      <c r="G5" s="19">
        <v>100</v>
      </c>
      <c r="H5" s="19">
        <v>2</v>
      </c>
      <c r="I5" s="19">
        <v>1.996</v>
      </c>
      <c r="J5" s="19">
        <v>75</v>
      </c>
      <c r="K5" s="48">
        <f t="shared" ref="K5:K15" si="0">IF(COUNT(J5,I5)=0,"",IFERROR(J5/1000/I5,""))</f>
        <v>3.7575150300601198E-2</v>
      </c>
      <c r="L5" s="19">
        <v>0.37</v>
      </c>
      <c r="M5" s="19">
        <f t="shared" ref="M5:M15" si="1">IF(COUNT(H5,L5)=0,"",IFERROR(H5*L5,""))</f>
        <v>0.74</v>
      </c>
      <c r="N5" s="19">
        <v>2.0099999999999998</v>
      </c>
      <c r="O5" s="19">
        <v>0.66400000000000003</v>
      </c>
      <c r="P5" s="19">
        <v>0.32500000000000001</v>
      </c>
      <c r="Q5" s="19">
        <f t="shared" ref="Q5:Q15" si="2">IF(COUNT(O5,P5)=0,"",IFERROR(O5*1000/P5*1000,""))</f>
        <v>2043076.923076923</v>
      </c>
      <c r="R5" s="19"/>
      <c r="S5" s="52">
        <f t="shared" ref="S5:S15" si="3">IF(COUNT(O5,P5)=0,"",IFERROR(O5*P5,""))</f>
        <v>0.21580000000000002</v>
      </c>
      <c r="T5" s="19">
        <v>58.5</v>
      </c>
      <c r="U5" s="19">
        <f t="shared" ref="U5:U15" si="4">IF(COUNT(T5)=0,"",IFERROR(COS(T5/180*PI()),""))</f>
        <v>0.52249856471594891</v>
      </c>
      <c r="V5" s="53">
        <f t="shared" ref="V5:V15" si="5">IF(COUNT(S5,T5)=0,"",IFERROR(S5*COS(T5/360*2*3.14),""))</f>
        <v>0.11285041571057232</v>
      </c>
      <c r="W5" s="19">
        <f t="shared" ref="W5:W15" si="6">IF(COUNT(V5,M5)=0,"",IFERROR(1-V5/M5,""))</f>
        <v>0.84749943822895635</v>
      </c>
      <c r="X5" s="19"/>
      <c r="Y5" s="19"/>
      <c r="Z5" s="19" t="str">
        <f t="shared" ref="Z5:Z15" si="7">IFERROR(IF(OR(V5="",X5="",X5=0),"",(V5-X5)/X5*100),"")</f>
        <v/>
      </c>
      <c r="AA5" s="48">
        <f t="shared" ref="AA5:AA15" si="8">IF(COUNT(AD5,AE5,AF5,AG5,AH5,AI5,AJ5,AK5,AL5,AC5)=0,"",IFERROR(SQRT(AD5^2+AE5^2+AF5^2+AG5^2+AH5^2+AI5^2+AJ5^2+AK5^2+AL5^2)/AC5,""))</f>
        <v>0.24387599135977522</v>
      </c>
      <c r="AB5" s="19" t="s">
        <v>168</v>
      </c>
      <c r="AC5" s="19">
        <v>648</v>
      </c>
      <c r="AD5" s="19">
        <v>114</v>
      </c>
      <c r="AE5" s="19">
        <v>75</v>
      </c>
      <c r="AF5" s="19">
        <v>74</v>
      </c>
      <c r="AG5" s="19">
        <v>29</v>
      </c>
      <c r="AH5" s="19">
        <v>6</v>
      </c>
      <c r="AI5" s="19"/>
      <c r="AJ5" s="19"/>
      <c r="AK5" s="19"/>
      <c r="AL5" s="19"/>
      <c r="AM5" s="19">
        <v>27</v>
      </c>
      <c r="AN5" s="19" t="s">
        <v>55</v>
      </c>
      <c r="AO5" s="19">
        <v>0</v>
      </c>
      <c r="AP5" s="19" t="s">
        <v>77</v>
      </c>
      <c r="AQ5" s="19" t="s">
        <v>77</v>
      </c>
      <c r="AR5" s="19" t="s">
        <v>77</v>
      </c>
    </row>
    <row r="6" spans="1:44" x14ac:dyDescent="0.3">
      <c r="A6" s="19" t="s">
        <v>148</v>
      </c>
      <c r="B6" s="19">
        <v>2</v>
      </c>
      <c r="C6" s="19" t="s">
        <v>53</v>
      </c>
      <c r="D6" s="19">
        <v>3</v>
      </c>
      <c r="E6" s="19">
        <v>4</v>
      </c>
      <c r="F6" s="19"/>
      <c r="G6" s="19">
        <v>100</v>
      </c>
      <c r="H6" s="19">
        <v>2</v>
      </c>
      <c r="I6" s="19">
        <v>1.9930000000000001</v>
      </c>
      <c r="J6" s="19">
        <v>91</v>
      </c>
      <c r="K6" s="48">
        <f t="shared" si="0"/>
        <v>4.5659809332664322E-2</v>
      </c>
      <c r="L6" s="19">
        <v>0.32</v>
      </c>
      <c r="M6" s="19">
        <f t="shared" si="1"/>
        <v>0.64</v>
      </c>
      <c r="N6" s="19">
        <v>3.09</v>
      </c>
      <c r="O6" s="19">
        <v>1.05</v>
      </c>
      <c r="P6" s="19">
        <v>0.251</v>
      </c>
      <c r="Q6" s="19">
        <f t="shared" si="2"/>
        <v>4183266.9322709162</v>
      </c>
      <c r="R6" s="19"/>
      <c r="S6" s="52">
        <f t="shared" si="3"/>
        <v>0.26355000000000001</v>
      </c>
      <c r="T6" s="19">
        <v>84</v>
      </c>
      <c r="U6" s="19">
        <f t="shared" si="4"/>
        <v>0.10452846326765346</v>
      </c>
      <c r="V6" s="53">
        <f t="shared" si="5"/>
        <v>2.7743276278647342E-2</v>
      </c>
      <c r="W6" s="19">
        <f t="shared" si="6"/>
        <v>0.9566511308146135</v>
      </c>
      <c r="X6" s="19"/>
      <c r="Y6" s="19"/>
      <c r="Z6" s="19" t="str">
        <f t="shared" si="7"/>
        <v/>
      </c>
      <c r="AA6" s="48">
        <f t="shared" si="8"/>
        <v>0.13378549835581022</v>
      </c>
      <c r="AB6" s="19" t="s">
        <v>159</v>
      </c>
      <c r="AC6" s="19">
        <v>1024</v>
      </c>
      <c r="AD6" s="19">
        <v>114</v>
      </c>
      <c r="AE6" s="19">
        <v>67</v>
      </c>
      <c r="AF6" s="19">
        <v>29</v>
      </c>
      <c r="AG6" s="19">
        <v>19</v>
      </c>
      <c r="AH6" s="19">
        <v>9</v>
      </c>
      <c r="AI6" s="19"/>
      <c r="AJ6" s="19"/>
      <c r="AK6" s="19"/>
      <c r="AL6" s="19"/>
      <c r="AM6" s="19">
        <v>26</v>
      </c>
      <c r="AN6" s="19" t="s">
        <v>55</v>
      </c>
      <c r="AO6" s="19">
        <v>0</v>
      </c>
      <c r="AP6" s="19" t="s">
        <v>77</v>
      </c>
      <c r="AQ6" s="19" t="s">
        <v>77</v>
      </c>
      <c r="AR6" s="19" t="s">
        <v>77</v>
      </c>
    </row>
    <row r="7" spans="1:44" x14ac:dyDescent="0.3">
      <c r="A7" s="19" t="s">
        <v>148</v>
      </c>
      <c r="B7" s="19">
        <v>3</v>
      </c>
      <c r="C7" s="19" t="s">
        <v>53</v>
      </c>
      <c r="D7" s="19">
        <v>3</v>
      </c>
      <c r="E7" s="19">
        <v>5</v>
      </c>
      <c r="F7" s="19"/>
      <c r="G7" s="19">
        <v>100</v>
      </c>
      <c r="H7" s="19">
        <v>2</v>
      </c>
      <c r="I7" s="19">
        <v>1.9950000000000001</v>
      </c>
      <c r="J7" s="19">
        <v>99</v>
      </c>
      <c r="K7" s="48">
        <f t="shared" si="0"/>
        <v>4.9624060150375938E-2</v>
      </c>
      <c r="L7" s="19">
        <v>0.31</v>
      </c>
      <c r="M7" s="19">
        <f t="shared" si="1"/>
        <v>0.62</v>
      </c>
      <c r="N7" s="19">
        <v>3.44</v>
      </c>
      <c r="O7" s="19">
        <v>1.29</v>
      </c>
      <c r="P7" s="19">
        <v>0.56999999999999995</v>
      </c>
      <c r="Q7" s="19">
        <f t="shared" si="2"/>
        <v>2263157.8947368423</v>
      </c>
      <c r="R7" s="19"/>
      <c r="S7" s="52">
        <f t="shared" si="3"/>
        <v>0.73529999999999995</v>
      </c>
      <c r="T7" s="19">
        <v>66.8</v>
      </c>
      <c r="U7" s="19">
        <f t="shared" si="4"/>
        <v>0.3939419095909511</v>
      </c>
      <c r="V7" s="53">
        <f t="shared" si="5"/>
        <v>0.29006489183734219</v>
      </c>
      <c r="W7" s="19">
        <f t="shared" si="6"/>
        <v>0.53215340026235136</v>
      </c>
      <c r="X7" s="19"/>
      <c r="Y7" s="19"/>
      <c r="Z7" s="19" t="str">
        <f t="shared" si="7"/>
        <v/>
      </c>
      <c r="AA7" s="48">
        <f t="shared" si="8"/>
        <v>0.23874306425289715</v>
      </c>
      <c r="AB7" s="19" t="s">
        <v>164</v>
      </c>
      <c r="AC7" s="19">
        <v>1225</v>
      </c>
      <c r="AD7" s="19">
        <v>260</v>
      </c>
      <c r="AE7" s="19">
        <v>124</v>
      </c>
      <c r="AF7" s="19">
        <v>41</v>
      </c>
      <c r="AG7" s="19">
        <v>26</v>
      </c>
      <c r="AH7" s="19">
        <v>10</v>
      </c>
      <c r="AI7" s="19">
        <v>8</v>
      </c>
      <c r="AJ7" s="19">
        <v>6</v>
      </c>
      <c r="AK7" s="19"/>
      <c r="AL7" s="19"/>
      <c r="AM7" s="19">
        <v>25</v>
      </c>
      <c r="AN7" s="19" t="s">
        <v>55</v>
      </c>
      <c r="AO7" s="19">
        <v>0</v>
      </c>
      <c r="AP7" s="19" t="s">
        <v>77</v>
      </c>
      <c r="AQ7" s="19" t="s">
        <v>77</v>
      </c>
      <c r="AR7" s="19" t="s">
        <v>77</v>
      </c>
    </row>
    <row r="8" spans="1:44" x14ac:dyDescent="0.3">
      <c r="A8" s="19" t="s">
        <v>148</v>
      </c>
      <c r="B8" s="19">
        <v>4</v>
      </c>
      <c r="C8" s="19" t="s">
        <v>53</v>
      </c>
      <c r="D8" s="19">
        <v>3</v>
      </c>
      <c r="E8" s="19">
        <v>7.5</v>
      </c>
      <c r="F8" s="19"/>
      <c r="G8" s="19">
        <v>100</v>
      </c>
      <c r="H8" s="19">
        <v>2</v>
      </c>
      <c r="I8" s="19">
        <v>1.994</v>
      </c>
      <c r="J8" s="19">
        <v>117</v>
      </c>
      <c r="K8" s="48">
        <f t="shared" si="0"/>
        <v>5.8676028084252763E-2</v>
      </c>
      <c r="L8" s="19">
        <v>0.56000000000000005</v>
      </c>
      <c r="M8" s="19">
        <f t="shared" si="1"/>
        <v>1.1200000000000001</v>
      </c>
      <c r="N8" s="19">
        <v>2.75</v>
      </c>
      <c r="O8" s="19">
        <v>0.93100000000000005</v>
      </c>
      <c r="P8" s="19">
        <v>0.77</v>
      </c>
      <c r="Q8" s="19">
        <f t="shared" si="2"/>
        <v>1209090.9090909089</v>
      </c>
      <c r="R8" s="19"/>
      <c r="S8" s="52">
        <f t="shared" si="3"/>
        <v>0.71687000000000001</v>
      </c>
      <c r="T8" s="19">
        <v>56.3</v>
      </c>
      <c r="U8" s="19">
        <f t="shared" si="4"/>
        <v>0.55484442744799933</v>
      </c>
      <c r="V8" s="53">
        <f t="shared" si="5"/>
        <v>0.39804837147405292</v>
      </c>
      <c r="W8" s="19">
        <f t="shared" si="6"/>
        <v>0.64459966832673854</v>
      </c>
      <c r="X8" s="19"/>
      <c r="Y8" s="19"/>
      <c r="Z8" s="19" t="str">
        <f t="shared" si="7"/>
        <v/>
      </c>
      <c r="AA8" s="48">
        <f t="shared" si="8"/>
        <v>0.25351286735749001</v>
      </c>
      <c r="AB8" s="19" t="s">
        <v>195</v>
      </c>
      <c r="AC8" s="19">
        <v>896</v>
      </c>
      <c r="AD8" s="19">
        <v>221</v>
      </c>
      <c r="AE8" s="19">
        <v>45</v>
      </c>
      <c r="AF8" s="19">
        <v>18</v>
      </c>
      <c r="AG8" s="19">
        <v>17</v>
      </c>
      <c r="AH8" s="19">
        <v>9</v>
      </c>
      <c r="AI8" s="19">
        <v>6</v>
      </c>
      <c r="AJ8" s="19"/>
      <c r="AK8" s="19"/>
      <c r="AL8" s="19"/>
      <c r="AM8" s="19">
        <v>27</v>
      </c>
      <c r="AN8" s="19" t="s">
        <v>55</v>
      </c>
      <c r="AO8" s="19">
        <v>0</v>
      </c>
      <c r="AP8" s="19" t="s">
        <v>77</v>
      </c>
      <c r="AQ8" s="19" t="s">
        <v>77</v>
      </c>
      <c r="AR8" s="19" t="s">
        <v>77</v>
      </c>
    </row>
    <row r="9" spans="1:44" x14ac:dyDescent="0.3">
      <c r="A9" s="19" t="s">
        <v>148</v>
      </c>
      <c r="B9" s="19">
        <v>5</v>
      </c>
      <c r="C9" s="19" t="s">
        <v>53</v>
      </c>
      <c r="D9" s="19">
        <v>3</v>
      </c>
      <c r="E9" s="19">
        <v>10</v>
      </c>
      <c r="F9" s="19"/>
      <c r="G9" s="19">
        <v>100</v>
      </c>
      <c r="H9" s="19">
        <v>2</v>
      </c>
      <c r="I9" s="19">
        <v>1.998</v>
      </c>
      <c r="J9" s="19">
        <v>113</v>
      </c>
      <c r="K9" s="48">
        <f t="shared" si="0"/>
        <v>5.6556556556556559E-2</v>
      </c>
      <c r="L9" s="19">
        <v>0.59</v>
      </c>
      <c r="M9" s="19">
        <f t="shared" si="1"/>
        <v>1.18</v>
      </c>
      <c r="N9" s="19">
        <v>1.84</v>
      </c>
      <c r="O9" s="19">
        <v>0.61899999999999999</v>
      </c>
      <c r="P9" s="19">
        <v>0.85399999999999998</v>
      </c>
      <c r="Q9" s="19">
        <f t="shared" si="2"/>
        <v>724824.3559718969</v>
      </c>
      <c r="R9" s="19"/>
      <c r="S9" s="52">
        <f t="shared" si="3"/>
        <v>0.52862599999999993</v>
      </c>
      <c r="T9" s="19">
        <v>59.4</v>
      </c>
      <c r="U9" s="19">
        <f t="shared" si="4"/>
        <v>0.50904141575037121</v>
      </c>
      <c r="V9" s="53">
        <f t="shared" si="5"/>
        <v>0.2693316327811302</v>
      </c>
      <c r="W9" s="19">
        <f t="shared" si="6"/>
        <v>0.77175285357531331</v>
      </c>
      <c r="X9" s="19"/>
      <c r="Y9" s="19"/>
      <c r="Z9" s="19" t="str">
        <f t="shared" si="7"/>
        <v/>
      </c>
      <c r="AA9" s="48">
        <f t="shared" si="8"/>
        <v>0.371243328008517</v>
      </c>
      <c r="AB9" s="19" t="s">
        <v>196</v>
      </c>
      <c r="AC9" s="19">
        <v>585</v>
      </c>
      <c r="AD9" s="19">
        <v>212</v>
      </c>
      <c r="AE9" s="19">
        <v>42</v>
      </c>
      <c r="AF9" s="19">
        <v>16</v>
      </c>
      <c r="AG9" s="19">
        <v>11</v>
      </c>
      <c r="AH9" s="19">
        <v>9</v>
      </c>
      <c r="AI9" s="19"/>
      <c r="AJ9" s="19"/>
      <c r="AK9" s="19"/>
      <c r="AL9" s="19"/>
      <c r="AM9" s="19">
        <v>27</v>
      </c>
      <c r="AN9" s="19" t="s">
        <v>197</v>
      </c>
      <c r="AO9" s="19">
        <v>0</v>
      </c>
      <c r="AP9" s="19" t="s">
        <v>77</v>
      </c>
      <c r="AQ9" s="19" t="s">
        <v>77</v>
      </c>
      <c r="AR9" s="19" t="s">
        <v>77</v>
      </c>
    </row>
    <row r="10" spans="1:44" x14ac:dyDescent="0.3">
      <c r="A10" s="19" t="s">
        <v>148</v>
      </c>
      <c r="B10" s="19">
        <v>6</v>
      </c>
      <c r="C10" s="19" t="s">
        <v>53</v>
      </c>
      <c r="D10" s="19">
        <v>3</v>
      </c>
      <c r="E10" s="19">
        <v>15</v>
      </c>
      <c r="F10" s="19"/>
      <c r="G10" s="19">
        <v>100</v>
      </c>
      <c r="H10" s="19">
        <v>2</v>
      </c>
      <c r="I10" s="19">
        <v>2</v>
      </c>
      <c r="J10" s="19">
        <v>49</v>
      </c>
      <c r="K10" s="48">
        <f t="shared" si="0"/>
        <v>2.4500000000000001E-2</v>
      </c>
      <c r="L10" s="19">
        <v>0.59</v>
      </c>
      <c r="M10" s="19">
        <f t="shared" si="1"/>
        <v>1.18</v>
      </c>
      <c r="N10" s="19">
        <v>1.0900000000000001</v>
      </c>
      <c r="O10" s="19">
        <v>0.38600000000000001</v>
      </c>
      <c r="P10" s="19">
        <v>0.84399999999999997</v>
      </c>
      <c r="Q10" s="19">
        <f t="shared" si="2"/>
        <v>457345.97156398103</v>
      </c>
      <c r="R10" s="19"/>
      <c r="S10" s="52">
        <f t="shared" si="3"/>
        <v>0.32578400000000002</v>
      </c>
      <c r="T10" s="19">
        <v>68</v>
      </c>
      <c r="U10" s="19">
        <f t="shared" si="4"/>
        <v>0.37460659341591218</v>
      </c>
      <c r="V10" s="53">
        <f t="shared" si="5"/>
        <v>0.12222255350900027</v>
      </c>
      <c r="W10" s="19">
        <f t="shared" si="6"/>
        <v>0.89642156482288116</v>
      </c>
      <c r="X10" s="19"/>
      <c r="Y10" s="19"/>
      <c r="Z10" s="19" t="str">
        <f t="shared" si="7"/>
        <v/>
      </c>
      <c r="AA10" s="48">
        <f t="shared" si="8"/>
        <v>0.66542075592364536</v>
      </c>
      <c r="AB10" s="19" t="s">
        <v>196</v>
      </c>
      <c r="AC10" s="19">
        <v>317</v>
      </c>
      <c r="AD10" s="19">
        <v>209</v>
      </c>
      <c r="AE10" s="19">
        <v>27</v>
      </c>
      <c r="AF10" s="19">
        <v>7</v>
      </c>
      <c r="AG10" s="19">
        <v>6</v>
      </c>
      <c r="AH10" s="19"/>
      <c r="AI10" s="19"/>
      <c r="AJ10" s="19"/>
      <c r="AK10" s="19"/>
      <c r="AL10" s="19"/>
      <c r="AM10" s="19">
        <v>27</v>
      </c>
      <c r="AN10" s="19" t="s">
        <v>197</v>
      </c>
      <c r="AO10" s="19">
        <v>0</v>
      </c>
      <c r="AP10" s="19" t="s">
        <v>77</v>
      </c>
      <c r="AQ10" s="19" t="s">
        <v>77</v>
      </c>
      <c r="AR10" s="19" t="s">
        <v>77</v>
      </c>
    </row>
    <row r="11" spans="1:44" x14ac:dyDescent="0.3">
      <c r="A11" s="19" t="s">
        <v>148</v>
      </c>
      <c r="B11" s="19">
        <v>7</v>
      </c>
      <c r="C11" s="19" t="s">
        <v>53</v>
      </c>
      <c r="D11" s="19">
        <v>3</v>
      </c>
      <c r="E11" s="19">
        <v>20</v>
      </c>
      <c r="F11" s="19"/>
      <c r="G11" s="19">
        <v>100</v>
      </c>
      <c r="H11" s="19">
        <v>2</v>
      </c>
      <c r="I11" s="19">
        <v>2</v>
      </c>
      <c r="J11" s="19">
        <v>95</v>
      </c>
      <c r="K11" s="48">
        <f t="shared" si="0"/>
        <v>4.7500000000000001E-2</v>
      </c>
      <c r="L11" s="19">
        <v>0.57999999999999996</v>
      </c>
      <c r="M11" s="19">
        <f t="shared" si="1"/>
        <v>1.1599999999999999</v>
      </c>
      <c r="N11" s="19">
        <v>0.91800000000000004</v>
      </c>
      <c r="O11" s="19">
        <v>0.3</v>
      </c>
      <c r="P11" s="19">
        <v>0.91200000000000003</v>
      </c>
      <c r="Q11" s="19">
        <f t="shared" si="2"/>
        <v>328947.36842105258</v>
      </c>
      <c r="R11" s="19"/>
      <c r="S11" s="52">
        <f t="shared" si="3"/>
        <v>0.27360000000000001</v>
      </c>
      <c r="T11" s="19">
        <v>76.099999999999994</v>
      </c>
      <c r="U11" s="19">
        <f t="shared" si="4"/>
        <v>0.24022804247726379</v>
      </c>
      <c r="V11" s="53">
        <f t="shared" si="5"/>
        <v>6.5905208165974588E-2</v>
      </c>
      <c r="W11" s="19">
        <f t="shared" si="6"/>
        <v>0.94318516537415986</v>
      </c>
      <c r="X11" s="19"/>
      <c r="Y11" s="19"/>
      <c r="Z11" s="19" t="str">
        <f t="shared" si="7"/>
        <v/>
      </c>
      <c r="AA11" s="48">
        <f t="shared" si="8"/>
        <v>0.89101905157532157</v>
      </c>
      <c r="AB11" s="19" t="s">
        <v>74</v>
      </c>
      <c r="AC11" s="19">
        <v>226</v>
      </c>
      <c r="AD11" s="19">
        <v>199</v>
      </c>
      <c r="AE11" s="19">
        <v>24</v>
      </c>
      <c r="AF11" s="19">
        <v>18</v>
      </c>
      <c r="AG11" s="19">
        <v>7</v>
      </c>
      <c r="AH11" s="19"/>
      <c r="AI11" s="19"/>
      <c r="AJ11" s="19"/>
      <c r="AK11" s="19"/>
      <c r="AL11" s="19"/>
      <c r="AM11" s="19">
        <v>27</v>
      </c>
      <c r="AN11" s="19" t="s">
        <v>197</v>
      </c>
      <c r="AO11" s="19">
        <v>0</v>
      </c>
      <c r="AP11" s="19" t="s">
        <v>77</v>
      </c>
      <c r="AQ11" s="19" t="s">
        <v>77</v>
      </c>
      <c r="AR11" s="19" t="s">
        <v>77</v>
      </c>
    </row>
    <row r="12" spans="1:44" x14ac:dyDescent="0.3">
      <c r="A12" s="19" t="s">
        <v>148</v>
      </c>
      <c r="B12" s="19">
        <v>8</v>
      </c>
      <c r="C12" s="19" t="s">
        <v>53</v>
      </c>
      <c r="D12" s="19">
        <v>3</v>
      </c>
      <c r="E12" s="19">
        <v>30</v>
      </c>
      <c r="F12" s="19"/>
      <c r="G12" s="19">
        <v>100</v>
      </c>
      <c r="H12" s="19">
        <v>2</v>
      </c>
      <c r="I12" s="19">
        <v>2.0099999999999998</v>
      </c>
      <c r="J12" s="19">
        <v>89</v>
      </c>
      <c r="K12" s="48">
        <f t="shared" si="0"/>
        <v>4.4278606965174133E-2</v>
      </c>
      <c r="L12" s="19">
        <v>0.56000000000000005</v>
      </c>
      <c r="M12" s="19">
        <f t="shared" si="1"/>
        <v>1.1200000000000001</v>
      </c>
      <c r="N12" s="19">
        <v>0.46300000000000002</v>
      </c>
      <c r="O12" s="19">
        <v>0.153</v>
      </c>
      <c r="P12" s="19">
        <v>0.90100000000000002</v>
      </c>
      <c r="Q12" s="19">
        <f t="shared" si="2"/>
        <v>169811.32075471699</v>
      </c>
      <c r="R12" s="19"/>
      <c r="S12" s="52">
        <f t="shared" si="3"/>
        <v>0.137853</v>
      </c>
      <c r="T12" s="19">
        <v>81</v>
      </c>
      <c r="U12" s="19">
        <f t="shared" si="4"/>
        <v>0.15643446504023092</v>
      </c>
      <c r="V12" s="53">
        <f t="shared" si="5"/>
        <v>2.1662536823634889E-2</v>
      </c>
      <c r="W12" s="19">
        <f t="shared" si="6"/>
        <v>0.98065844926461176</v>
      </c>
      <c r="X12" s="19"/>
      <c r="Y12" s="19"/>
      <c r="Z12" s="19" t="str">
        <f t="shared" si="7"/>
        <v/>
      </c>
      <c r="AA12" s="48">
        <f t="shared" si="8"/>
        <v>0.41410094401816416</v>
      </c>
      <c r="AB12" s="19" t="s">
        <v>74</v>
      </c>
      <c r="AC12" s="19">
        <v>140</v>
      </c>
      <c r="AD12" s="19">
        <v>56</v>
      </c>
      <c r="AE12" s="19">
        <v>15</v>
      </c>
      <c r="AF12" s="19"/>
      <c r="AG12" s="19"/>
      <c r="AH12" s="19"/>
      <c r="AI12" s="19"/>
      <c r="AJ12" s="19"/>
      <c r="AK12" s="19"/>
      <c r="AL12" s="19"/>
      <c r="AM12" s="19">
        <v>27</v>
      </c>
      <c r="AN12" s="19" t="s">
        <v>197</v>
      </c>
      <c r="AO12" s="19">
        <v>0</v>
      </c>
      <c r="AP12" s="19" t="s">
        <v>77</v>
      </c>
      <c r="AQ12" s="19" t="s">
        <v>77</v>
      </c>
      <c r="AR12" s="19" t="s">
        <v>77</v>
      </c>
    </row>
    <row r="13" spans="1:44" x14ac:dyDescent="0.3">
      <c r="A13" s="19" t="s">
        <v>148</v>
      </c>
      <c r="B13" s="19">
        <v>9</v>
      </c>
      <c r="C13" s="19" t="s">
        <v>53</v>
      </c>
      <c r="D13" s="19">
        <v>3</v>
      </c>
      <c r="E13" s="19">
        <v>40</v>
      </c>
      <c r="F13" s="19"/>
      <c r="G13" s="19">
        <v>100</v>
      </c>
      <c r="H13" s="19">
        <v>2</v>
      </c>
      <c r="I13" s="19">
        <v>2.02</v>
      </c>
      <c r="J13" s="19">
        <v>83</v>
      </c>
      <c r="K13" s="48">
        <f t="shared" si="0"/>
        <v>4.1089108910891091E-2</v>
      </c>
      <c r="L13" s="19">
        <v>0.54</v>
      </c>
      <c r="M13" s="19">
        <f t="shared" si="1"/>
        <v>1.08</v>
      </c>
      <c r="N13" s="19">
        <v>0.314</v>
      </c>
      <c r="O13" s="19">
        <v>0.112</v>
      </c>
      <c r="P13" s="19">
        <v>0.86499999999999999</v>
      </c>
      <c r="Q13" s="19">
        <f t="shared" si="2"/>
        <v>129479.76878612718</v>
      </c>
      <c r="R13" s="19"/>
      <c r="S13" s="52">
        <f t="shared" si="3"/>
        <v>9.6880000000000008E-2</v>
      </c>
      <c r="T13" s="19">
        <v>87</v>
      </c>
      <c r="U13" s="19">
        <f t="shared" si="4"/>
        <v>5.2335956242943966E-2</v>
      </c>
      <c r="V13" s="53">
        <f t="shared" si="5"/>
        <v>5.1447802618943871E-3</v>
      </c>
      <c r="W13" s="19">
        <f t="shared" si="6"/>
        <v>0.99523631457231998</v>
      </c>
      <c r="X13" s="19"/>
      <c r="Y13" s="19"/>
      <c r="Z13" s="19" t="str">
        <f t="shared" si="7"/>
        <v/>
      </c>
      <c r="AA13" s="48">
        <f t="shared" si="8"/>
        <v>0.43602935092981787</v>
      </c>
      <c r="AB13" s="19" t="s">
        <v>74</v>
      </c>
      <c r="AC13" s="19">
        <v>103</v>
      </c>
      <c r="AD13" s="19">
        <v>44</v>
      </c>
      <c r="AE13" s="19">
        <v>9</v>
      </c>
      <c r="AF13" s="19"/>
      <c r="AG13" s="19"/>
      <c r="AH13" s="19"/>
      <c r="AI13" s="19"/>
      <c r="AJ13" s="19"/>
      <c r="AK13" s="19"/>
      <c r="AL13" s="19"/>
      <c r="AM13" s="19">
        <v>27</v>
      </c>
      <c r="AN13" s="19" t="s">
        <v>197</v>
      </c>
      <c r="AO13" s="19">
        <v>0</v>
      </c>
      <c r="AP13" s="19" t="s">
        <v>77</v>
      </c>
      <c r="AQ13" s="19" t="s">
        <v>77</v>
      </c>
      <c r="AR13" s="19" t="s">
        <v>77</v>
      </c>
    </row>
    <row r="14" spans="1:44" x14ac:dyDescent="0.3">
      <c r="A14" s="19" t="s">
        <v>148</v>
      </c>
      <c r="B14" s="19">
        <v>10</v>
      </c>
      <c r="C14" s="19" t="s">
        <v>53</v>
      </c>
      <c r="D14" s="19">
        <v>3</v>
      </c>
      <c r="E14" s="19">
        <v>50</v>
      </c>
      <c r="F14" s="19"/>
      <c r="G14" s="19">
        <v>100</v>
      </c>
      <c r="H14" s="19">
        <v>2</v>
      </c>
      <c r="I14" s="19">
        <v>2.0299999999999998</v>
      </c>
      <c r="J14" s="19">
        <v>139</v>
      </c>
      <c r="K14" s="48">
        <f t="shared" si="0"/>
        <v>6.8472906403940895E-2</v>
      </c>
      <c r="L14" s="19">
        <v>0.52</v>
      </c>
      <c r="M14" s="19">
        <f t="shared" si="1"/>
        <v>1.04</v>
      </c>
      <c r="N14" s="19">
        <v>0.25700000000000001</v>
      </c>
      <c r="O14" s="19">
        <v>9.0999999999999998E-2</v>
      </c>
      <c r="P14" s="19">
        <v>0.88400000000000001</v>
      </c>
      <c r="Q14" s="19">
        <f t="shared" si="2"/>
        <v>102941.17647058824</v>
      </c>
      <c r="R14" s="19"/>
      <c r="S14" s="52">
        <f t="shared" si="3"/>
        <v>8.0444000000000002E-2</v>
      </c>
      <c r="T14" s="19">
        <v>91</v>
      </c>
      <c r="U14" s="19">
        <f t="shared" si="4"/>
        <v>-1.7452406437283477E-2</v>
      </c>
      <c r="V14" s="53">
        <f t="shared" si="5"/>
        <v>-1.3391793130833564E-3</v>
      </c>
      <c r="W14" s="19">
        <f t="shared" si="6"/>
        <v>1.0012876724164264</v>
      </c>
      <c r="X14" s="19"/>
      <c r="Y14" s="19"/>
      <c r="Z14" s="19" t="str">
        <f t="shared" si="7"/>
        <v/>
      </c>
      <c r="AA14" s="48">
        <f t="shared" si="8"/>
        <v>0.56211653952340557</v>
      </c>
      <c r="AB14" s="19" t="s">
        <v>74</v>
      </c>
      <c r="AC14" s="19">
        <v>79</v>
      </c>
      <c r="AD14" s="19">
        <v>44</v>
      </c>
      <c r="AE14" s="19">
        <v>6</v>
      </c>
      <c r="AF14" s="19"/>
      <c r="AG14" s="19"/>
      <c r="AH14" s="19"/>
      <c r="AI14" s="19"/>
      <c r="AJ14" s="19"/>
      <c r="AK14" s="19"/>
      <c r="AL14" s="19"/>
      <c r="AM14" s="19">
        <v>27</v>
      </c>
      <c r="AN14" s="19" t="s">
        <v>197</v>
      </c>
      <c r="AO14" s="19">
        <v>0</v>
      </c>
      <c r="AP14" s="19" t="s">
        <v>77</v>
      </c>
      <c r="AQ14" s="19" t="s">
        <v>77</v>
      </c>
      <c r="AR14" s="19" t="s">
        <v>77</v>
      </c>
    </row>
    <row r="15" spans="1:44" x14ac:dyDescent="0.3">
      <c r="A15" s="19" t="s">
        <v>148</v>
      </c>
      <c r="B15" s="19">
        <v>11</v>
      </c>
      <c r="C15" s="19" t="s">
        <v>53</v>
      </c>
      <c r="D15" s="19">
        <v>3</v>
      </c>
      <c r="E15" s="19">
        <v>60</v>
      </c>
      <c r="F15" s="19"/>
      <c r="G15" s="19">
        <v>100</v>
      </c>
      <c r="H15" s="19">
        <v>2</v>
      </c>
      <c r="I15" s="19">
        <v>2.04</v>
      </c>
      <c r="J15" s="19">
        <v>81</v>
      </c>
      <c r="K15" s="48">
        <f t="shared" si="0"/>
        <v>3.9705882352941174E-2</v>
      </c>
      <c r="L15" s="19">
        <v>0.49</v>
      </c>
      <c r="M15" s="19">
        <f t="shared" si="1"/>
        <v>0.98</v>
      </c>
      <c r="N15" s="19">
        <v>0.24199999999999999</v>
      </c>
      <c r="O15" s="19">
        <v>7.8E-2</v>
      </c>
      <c r="P15" s="19">
        <v>0.79900000000000004</v>
      </c>
      <c r="Q15" s="19">
        <f t="shared" si="2"/>
        <v>97622.027534418026</v>
      </c>
      <c r="R15" s="19"/>
      <c r="S15" s="52">
        <f t="shared" si="3"/>
        <v>6.2322000000000002E-2</v>
      </c>
      <c r="T15" s="19">
        <v>94.8</v>
      </c>
      <c r="U15" s="19">
        <f t="shared" si="4"/>
        <v>-8.367784333231533E-2</v>
      </c>
      <c r="V15" s="53">
        <f t="shared" si="5"/>
        <v>-5.1628765200030782E-3</v>
      </c>
      <c r="W15" s="19">
        <f t="shared" si="6"/>
        <v>1.0052682413469418</v>
      </c>
      <c r="X15" s="19"/>
      <c r="Y15" s="19"/>
      <c r="Z15" s="19" t="str">
        <f t="shared" si="7"/>
        <v/>
      </c>
      <c r="AA15" s="48">
        <f t="shared" si="8"/>
        <v>0.73992774735280409</v>
      </c>
      <c r="AB15" s="19" t="s">
        <v>167</v>
      </c>
      <c r="AC15" s="19">
        <v>63</v>
      </c>
      <c r="AD15" s="19">
        <v>43</v>
      </c>
      <c r="AE15" s="19">
        <v>18</v>
      </c>
      <c r="AF15" s="19"/>
      <c r="AG15" s="19"/>
      <c r="AH15" s="19"/>
      <c r="AI15" s="19"/>
      <c r="AJ15" s="19"/>
      <c r="AK15" s="19"/>
      <c r="AL15" s="19"/>
      <c r="AM15" s="19">
        <v>27</v>
      </c>
      <c r="AN15" s="19" t="s">
        <v>197</v>
      </c>
      <c r="AO15" s="19">
        <v>0</v>
      </c>
      <c r="AP15" s="19" t="s">
        <v>77</v>
      </c>
      <c r="AQ15" s="19" t="s">
        <v>77</v>
      </c>
      <c r="AR15" s="19" t="s">
        <v>77</v>
      </c>
    </row>
    <row r="16" spans="1:44" ht="18" customHeight="1" x14ac:dyDescent="0.3">
      <c r="A16" s="60" t="s">
        <v>198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6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</row>
    <row r="17" spans="1:44" x14ac:dyDescent="0.3">
      <c r="A17" s="19" t="s">
        <v>150</v>
      </c>
      <c r="B17" s="19">
        <v>1</v>
      </c>
      <c r="C17" s="19" t="s">
        <v>53</v>
      </c>
      <c r="D17" s="19">
        <v>3</v>
      </c>
      <c r="E17" s="19">
        <v>2</v>
      </c>
      <c r="F17" s="19"/>
      <c r="G17" s="19">
        <v>100</v>
      </c>
      <c r="H17" s="19">
        <v>4</v>
      </c>
      <c r="I17" s="19"/>
      <c r="J17" s="19">
        <v>239</v>
      </c>
      <c r="K17" s="48" t="str">
        <f t="shared" ref="K17:K27" si="9">IF(COUNT(J17,I17)=0,"",IFERROR(J17/1000/I17,""))</f>
        <v/>
      </c>
      <c r="L17" s="19">
        <v>1.43</v>
      </c>
      <c r="M17" s="19">
        <f t="shared" ref="M17:M27" si="10">IF(COUNT(H17,L17)=0,"",IFERROR(H17*L17,""))</f>
        <v>5.72</v>
      </c>
      <c r="N17" s="19">
        <v>6.16</v>
      </c>
      <c r="O17" s="19">
        <v>1.57</v>
      </c>
      <c r="P17" s="19"/>
      <c r="Q17" s="19" t="str">
        <f t="shared" ref="Q17:Q27" si="11">IF(COUNT(O17,P17)=0,"",IFERROR(O17*1000/P17*1000,""))</f>
        <v/>
      </c>
      <c r="R17" s="19"/>
      <c r="S17" s="52">
        <f t="shared" ref="S17:S27" si="12">IF(COUNT(O17,P17)=0,"",IFERROR(O17*P17,""))</f>
        <v>0</v>
      </c>
      <c r="T17" s="19">
        <v>89.5</v>
      </c>
      <c r="U17" s="19">
        <f t="shared" ref="U17:U27" si="13">IF(COUNT(T17)=0,"",IFERROR(COS(T17/180*PI()),""))</f>
        <v>8.7265354983738965E-3</v>
      </c>
      <c r="V17" s="19">
        <f t="shared" ref="V17:V27" si="14">IF(COUNT(S17,T17)=0,"",IFERROR(S17*COS(T17/360*2*3.14),""))</f>
        <v>0</v>
      </c>
      <c r="W17" s="19">
        <f t="shared" ref="W17:W27" si="15">IF(COUNT(V17,M17)=0,"",IFERROR(1-V17/M17,""))</f>
        <v>1</v>
      </c>
      <c r="X17" s="19">
        <v>0.56699999999999995</v>
      </c>
      <c r="Y17" s="19">
        <v>1.2E-2</v>
      </c>
      <c r="Z17" s="19">
        <f t="shared" ref="Z17:Z27" si="16">IFERROR(IF(OR(V17="",X17="",X17=0),"",(V17-X17)/X17*100),"")</f>
        <v>-100</v>
      </c>
      <c r="AA17" s="48">
        <f t="shared" ref="AA17:AA27" si="17">IF(COUNT(AD17,AE17,AF17,AG17,AH17,AI17,AJ17,AK17,AL17,AC17)=0,"",IFERROR(SQRT(AD17^2+AE17^2+AF17^2+AG17^2+AH17^2+AI17^2+AJ17^2+AK17^2+AL17^2)/AC17,""))</f>
        <v>0.72884039405071399</v>
      </c>
      <c r="AB17" s="19" t="s">
        <v>199</v>
      </c>
      <c r="AC17" s="19">
        <v>1250</v>
      </c>
      <c r="AD17" s="19">
        <v>839</v>
      </c>
      <c r="AE17" s="19">
        <v>239</v>
      </c>
      <c r="AF17" s="19">
        <v>204</v>
      </c>
      <c r="AG17" s="19">
        <v>98</v>
      </c>
      <c r="AH17" s="19">
        <v>98</v>
      </c>
      <c r="AI17" s="19">
        <v>51</v>
      </c>
      <c r="AJ17" s="19">
        <v>49</v>
      </c>
      <c r="AK17" s="19">
        <v>48</v>
      </c>
      <c r="AL17" s="19">
        <v>29</v>
      </c>
      <c r="AM17" s="19">
        <v>54</v>
      </c>
      <c r="AN17" s="19" t="s">
        <v>197</v>
      </c>
      <c r="AO17" s="19">
        <v>0</v>
      </c>
      <c r="AP17" s="19" t="s">
        <v>77</v>
      </c>
      <c r="AQ17" s="19" t="s">
        <v>77</v>
      </c>
      <c r="AR17" s="19" t="s">
        <v>77</v>
      </c>
    </row>
    <row r="18" spans="1:44" x14ac:dyDescent="0.3">
      <c r="A18" s="19" t="s">
        <v>150</v>
      </c>
      <c r="B18" s="19">
        <v>2</v>
      </c>
      <c r="C18" s="19" t="s">
        <v>53</v>
      </c>
      <c r="D18" s="19">
        <v>3</v>
      </c>
      <c r="E18" s="19">
        <v>4</v>
      </c>
      <c r="F18" s="19"/>
      <c r="G18" s="19">
        <v>100</v>
      </c>
      <c r="H18" s="19">
        <v>4</v>
      </c>
      <c r="I18" s="19"/>
      <c r="J18" s="19">
        <v>239</v>
      </c>
      <c r="K18" s="48" t="str">
        <f t="shared" si="9"/>
        <v/>
      </c>
      <c r="L18" s="19">
        <v>0.85</v>
      </c>
      <c r="M18" s="19">
        <f t="shared" si="10"/>
        <v>3.4</v>
      </c>
      <c r="N18" s="19">
        <v>5.13</v>
      </c>
      <c r="O18" s="19">
        <v>1.77</v>
      </c>
      <c r="P18" s="19"/>
      <c r="Q18" s="19" t="str">
        <f t="shared" si="11"/>
        <v/>
      </c>
      <c r="R18" s="19"/>
      <c r="S18" s="52">
        <f t="shared" si="12"/>
        <v>0</v>
      </c>
      <c r="T18" s="19">
        <v>77</v>
      </c>
      <c r="U18" s="19">
        <f t="shared" si="13"/>
        <v>0.22495105434386514</v>
      </c>
      <c r="V18" s="19">
        <f t="shared" si="14"/>
        <v>0</v>
      </c>
      <c r="W18" s="19">
        <f t="shared" si="15"/>
        <v>1</v>
      </c>
      <c r="X18" s="19">
        <v>0.32500000000000001</v>
      </c>
      <c r="Y18" s="19">
        <v>0.22800000000000001</v>
      </c>
      <c r="Z18" s="19">
        <f t="shared" si="16"/>
        <v>-100</v>
      </c>
      <c r="AA18" s="48">
        <f t="shared" si="17"/>
        <v>0.17069924645276843</v>
      </c>
      <c r="AB18" s="19" t="s">
        <v>170</v>
      </c>
      <c r="AC18" s="19">
        <v>1607</v>
      </c>
      <c r="AD18" s="19">
        <v>218</v>
      </c>
      <c r="AE18" s="19">
        <v>160</v>
      </c>
      <c r="AF18" s="19">
        <v>40</v>
      </c>
      <c r="AG18" s="19">
        <v>15</v>
      </c>
      <c r="AH18" s="19">
        <v>13</v>
      </c>
      <c r="AI18" s="19">
        <v>9</v>
      </c>
      <c r="AJ18" s="19">
        <v>7</v>
      </c>
      <c r="AK18" s="19"/>
      <c r="AL18" s="19"/>
      <c r="AM18" s="19">
        <v>40</v>
      </c>
      <c r="AN18" s="19" t="s">
        <v>55</v>
      </c>
      <c r="AO18" s="19">
        <v>0</v>
      </c>
      <c r="AP18" s="19" t="s">
        <v>77</v>
      </c>
      <c r="AQ18" s="19" t="s">
        <v>77</v>
      </c>
      <c r="AR18" s="19" t="s">
        <v>77</v>
      </c>
    </row>
    <row r="19" spans="1:44" x14ac:dyDescent="0.3">
      <c r="A19" s="19" t="s">
        <v>150</v>
      </c>
      <c r="B19" s="19">
        <v>3</v>
      </c>
      <c r="C19" s="19" t="s">
        <v>53</v>
      </c>
      <c r="D19" s="19">
        <v>3</v>
      </c>
      <c r="E19" s="19">
        <v>5</v>
      </c>
      <c r="F19" s="19"/>
      <c r="G19" s="19">
        <v>100</v>
      </c>
      <c r="H19" s="19">
        <v>4</v>
      </c>
      <c r="I19" s="19"/>
      <c r="J19" s="19">
        <v>239</v>
      </c>
      <c r="K19" s="48" t="str">
        <f t="shared" si="9"/>
        <v/>
      </c>
      <c r="L19" s="19">
        <v>0.55000000000000004</v>
      </c>
      <c r="M19" s="19">
        <f t="shared" si="10"/>
        <v>2.2000000000000002</v>
      </c>
      <c r="N19" s="19">
        <v>5.13</v>
      </c>
      <c r="O19" s="19">
        <v>1.89</v>
      </c>
      <c r="P19" s="19">
        <v>0.91200000000000003</v>
      </c>
      <c r="Q19" s="19">
        <f t="shared" si="11"/>
        <v>2072368.4210526317</v>
      </c>
      <c r="R19" s="19"/>
      <c r="S19" s="52">
        <f t="shared" si="12"/>
        <v>1.7236799999999999</v>
      </c>
      <c r="T19" s="19">
        <v>86</v>
      </c>
      <c r="U19" s="19">
        <f t="shared" si="13"/>
        <v>6.9756473744125233E-2</v>
      </c>
      <c r="V19" s="19">
        <f t="shared" si="14"/>
        <v>0.12154621628348651</v>
      </c>
      <c r="W19" s="19">
        <f t="shared" si="15"/>
        <v>0.94475171987114248</v>
      </c>
      <c r="X19" s="19">
        <v>0.12</v>
      </c>
      <c r="Y19" s="19">
        <v>6.7000000000000004E-2</v>
      </c>
      <c r="Z19" s="19">
        <f t="shared" si="16"/>
        <v>1.288513569572096</v>
      </c>
      <c r="AA19" s="48">
        <f t="shared" si="17"/>
        <v>9.4861254798835087E-2</v>
      </c>
      <c r="AB19" s="19" t="s">
        <v>168</v>
      </c>
      <c r="AC19" s="19">
        <v>1856</v>
      </c>
      <c r="AD19" s="19">
        <v>143</v>
      </c>
      <c r="AE19" s="19">
        <v>98</v>
      </c>
      <c r="AF19" s="19">
        <v>21</v>
      </c>
      <c r="AG19" s="19">
        <v>15</v>
      </c>
      <c r="AH19" s="19">
        <v>9</v>
      </c>
      <c r="AI19" s="19">
        <v>8</v>
      </c>
      <c r="AJ19" s="19">
        <v>7</v>
      </c>
      <c r="AK19" s="19">
        <v>7</v>
      </c>
      <c r="AL19" s="19">
        <v>6</v>
      </c>
      <c r="AM19" s="19">
        <v>31</v>
      </c>
      <c r="AN19" s="19" t="s">
        <v>55</v>
      </c>
      <c r="AO19" s="19">
        <v>1</v>
      </c>
      <c r="AP19" s="19" t="s">
        <v>77</v>
      </c>
      <c r="AQ19" s="19" t="s">
        <v>77</v>
      </c>
      <c r="AR19" s="19" t="s">
        <v>77</v>
      </c>
    </row>
    <row r="20" spans="1:44" x14ac:dyDescent="0.3">
      <c r="A20" s="19" t="s">
        <v>150</v>
      </c>
      <c r="B20" s="19">
        <v>4</v>
      </c>
      <c r="C20" s="19" t="s">
        <v>53</v>
      </c>
      <c r="D20" s="19">
        <v>3</v>
      </c>
      <c r="E20" s="19">
        <v>7.5</v>
      </c>
      <c r="F20" s="19"/>
      <c r="G20" s="19">
        <v>100</v>
      </c>
      <c r="H20" s="19">
        <v>4</v>
      </c>
      <c r="I20" s="19"/>
      <c r="J20" s="19">
        <v>239</v>
      </c>
      <c r="K20" s="48" t="str">
        <f t="shared" si="9"/>
        <v/>
      </c>
      <c r="L20" s="19">
        <v>0.92</v>
      </c>
      <c r="M20" s="19">
        <f t="shared" si="10"/>
        <v>3.68</v>
      </c>
      <c r="N20" s="19">
        <v>4.26</v>
      </c>
      <c r="O20" s="19">
        <v>1.48</v>
      </c>
      <c r="P20" s="19">
        <v>1.45</v>
      </c>
      <c r="Q20" s="19">
        <f t="shared" si="11"/>
        <v>1020689.6551724138</v>
      </c>
      <c r="R20" s="19"/>
      <c r="S20" s="52">
        <f t="shared" si="12"/>
        <v>2.1459999999999999</v>
      </c>
      <c r="T20" s="19">
        <v>75</v>
      </c>
      <c r="U20" s="19">
        <f t="shared" si="13"/>
        <v>0.25881904510252074</v>
      </c>
      <c r="V20" s="19">
        <f t="shared" si="14"/>
        <v>0.55680112118933733</v>
      </c>
      <c r="W20" s="19">
        <f t="shared" si="15"/>
        <v>0.84869534750289743</v>
      </c>
      <c r="X20" s="19"/>
      <c r="Y20" s="19"/>
      <c r="Z20" s="19" t="str">
        <f t="shared" si="16"/>
        <v/>
      </c>
      <c r="AA20" s="48">
        <f t="shared" si="17"/>
        <v>0.14059293253147795</v>
      </c>
      <c r="AB20" s="19" t="s">
        <v>170</v>
      </c>
      <c r="AC20" s="19">
        <v>1460</v>
      </c>
      <c r="AD20" s="19">
        <v>145</v>
      </c>
      <c r="AE20" s="19">
        <v>139</v>
      </c>
      <c r="AF20" s="19">
        <v>31</v>
      </c>
      <c r="AG20" s="19">
        <v>19</v>
      </c>
      <c r="AH20" s="19">
        <v>15</v>
      </c>
      <c r="AI20" s="19">
        <v>13</v>
      </c>
      <c r="AJ20" s="19">
        <v>6</v>
      </c>
      <c r="AK20" s="19">
        <v>6</v>
      </c>
      <c r="AL20" s="19"/>
      <c r="AM20" s="19">
        <v>40</v>
      </c>
      <c r="AN20" s="19" t="s">
        <v>55</v>
      </c>
      <c r="AO20" s="19">
        <v>1</v>
      </c>
      <c r="AP20" s="19" t="s">
        <v>77</v>
      </c>
      <c r="AQ20" s="19" t="s">
        <v>77</v>
      </c>
      <c r="AR20" s="19" t="s">
        <v>77</v>
      </c>
    </row>
    <row r="21" spans="1:44" x14ac:dyDescent="0.3">
      <c r="A21" s="19" t="s">
        <v>150</v>
      </c>
      <c r="B21" s="19">
        <v>5</v>
      </c>
      <c r="C21" s="19" t="s">
        <v>53</v>
      </c>
      <c r="D21" s="19">
        <v>3</v>
      </c>
      <c r="E21" s="19">
        <v>10</v>
      </c>
      <c r="F21" s="19"/>
      <c r="G21" s="19">
        <v>100</v>
      </c>
      <c r="H21" s="19">
        <v>4</v>
      </c>
      <c r="I21" s="19"/>
      <c r="J21" s="19">
        <v>479</v>
      </c>
      <c r="K21" s="48" t="str">
        <f t="shared" si="9"/>
        <v/>
      </c>
      <c r="L21" s="19">
        <v>1.49</v>
      </c>
      <c r="M21" s="19">
        <f t="shared" si="10"/>
        <v>5.96</v>
      </c>
      <c r="N21" s="19">
        <v>4.26</v>
      </c>
      <c r="O21" s="19">
        <v>1.39</v>
      </c>
      <c r="P21" s="19">
        <v>2.37</v>
      </c>
      <c r="Q21" s="19">
        <f t="shared" si="11"/>
        <v>586497.89029535861</v>
      </c>
      <c r="R21" s="19"/>
      <c r="S21" s="52">
        <f t="shared" si="12"/>
        <v>3.2942999999999998</v>
      </c>
      <c r="T21" s="19">
        <v>74</v>
      </c>
      <c r="U21" s="19">
        <f t="shared" si="13"/>
        <v>0.27563735581699916</v>
      </c>
      <c r="V21" s="19">
        <f t="shared" si="14"/>
        <v>0.91010535711919882</v>
      </c>
      <c r="W21" s="19">
        <f t="shared" si="15"/>
        <v>0.8472977588726176</v>
      </c>
      <c r="X21" s="19">
        <v>0.90300000000000002</v>
      </c>
      <c r="Y21" s="19">
        <v>0.26500000000000001</v>
      </c>
      <c r="Z21" s="19">
        <f t="shared" si="16"/>
        <v>0.78686125351038716</v>
      </c>
      <c r="AA21" s="48">
        <f t="shared" si="17"/>
        <v>0.15289228116097112</v>
      </c>
      <c r="AB21" s="19" t="s">
        <v>200</v>
      </c>
      <c r="AC21" s="19">
        <v>1344</v>
      </c>
      <c r="AD21" s="19">
        <v>145</v>
      </c>
      <c r="AE21" s="19">
        <v>139</v>
      </c>
      <c r="AF21" s="19">
        <v>31</v>
      </c>
      <c r="AG21" s="19">
        <v>23</v>
      </c>
      <c r="AH21" s="19">
        <v>15</v>
      </c>
      <c r="AI21" s="19">
        <v>10</v>
      </c>
      <c r="AJ21" s="19">
        <v>8</v>
      </c>
      <c r="AK21" s="19"/>
      <c r="AL21" s="19"/>
      <c r="AM21" s="19">
        <v>53</v>
      </c>
      <c r="AN21" s="19" t="s">
        <v>55</v>
      </c>
      <c r="AO21" s="19">
        <v>1</v>
      </c>
      <c r="AP21" s="19" t="s">
        <v>77</v>
      </c>
      <c r="AQ21" s="19" t="s">
        <v>77</v>
      </c>
      <c r="AR21" s="19" t="s">
        <v>77</v>
      </c>
    </row>
    <row r="22" spans="1:44" x14ac:dyDescent="0.3">
      <c r="A22" s="19" t="s">
        <v>150</v>
      </c>
      <c r="B22" s="19">
        <v>6</v>
      </c>
      <c r="C22" s="19" t="s">
        <v>53</v>
      </c>
      <c r="D22" s="19">
        <v>3</v>
      </c>
      <c r="E22" s="19">
        <v>15</v>
      </c>
      <c r="F22" s="19"/>
      <c r="G22" s="19">
        <v>100</v>
      </c>
      <c r="H22" s="19">
        <v>4</v>
      </c>
      <c r="I22" s="19"/>
      <c r="J22" s="19">
        <v>1182</v>
      </c>
      <c r="K22" s="48" t="str">
        <f t="shared" si="9"/>
        <v/>
      </c>
      <c r="L22" s="19">
        <v>2.39</v>
      </c>
      <c r="M22" s="19">
        <f t="shared" si="10"/>
        <v>9.56</v>
      </c>
      <c r="N22" s="19">
        <v>4.18</v>
      </c>
      <c r="O22" s="19">
        <v>1.36</v>
      </c>
      <c r="P22" s="19">
        <v>4.2300000000000004</v>
      </c>
      <c r="Q22" s="19">
        <f t="shared" si="11"/>
        <v>321513.00236406614</v>
      </c>
      <c r="R22" s="19"/>
      <c r="S22" s="52">
        <f t="shared" si="12"/>
        <v>5.7528000000000006</v>
      </c>
      <c r="T22" s="19">
        <v>79.8</v>
      </c>
      <c r="U22" s="19">
        <f t="shared" si="13"/>
        <v>0.17708474031958338</v>
      </c>
      <c r="V22" s="19">
        <f t="shared" si="14"/>
        <v>1.0227305601733034</v>
      </c>
      <c r="W22" s="19">
        <f t="shared" si="15"/>
        <v>0.89301981588145363</v>
      </c>
      <c r="X22" s="19">
        <v>1.04</v>
      </c>
      <c r="Y22" s="19">
        <v>0.16600000000000001</v>
      </c>
      <c r="Z22" s="19">
        <f t="shared" si="16"/>
        <v>-1.660523060259288</v>
      </c>
      <c r="AA22" s="48">
        <f t="shared" si="17"/>
        <v>0.18310932395707083</v>
      </c>
      <c r="AB22" s="19" t="s">
        <v>74</v>
      </c>
      <c r="AC22" s="19">
        <v>1332</v>
      </c>
      <c r="AD22" s="19">
        <v>192</v>
      </c>
      <c r="AE22" s="19">
        <v>141</v>
      </c>
      <c r="AF22" s="19">
        <v>36</v>
      </c>
      <c r="AG22" s="19">
        <v>29</v>
      </c>
      <c r="AH22" s="19">
        <v>19</v>
      </c>
      <c r="AI22" s="19">
        <v>14</v>
      </c>
      <c r="AJ22" s="19">
        <v>7</v>
      </c>
      <c r="AK22" s="19"/>
      <c r="AL22" s="19"/>
      <c r="AM22" s="19">
        <v>74</v>
      </c>
      <c r="AN22" s="19" t="s">
        <v>55</v>
      </c>
      <c r="AO22" s="19">
        <v>1</v>
      </c>
      <c r="AP22" s="19" t="s">
        <v>77</v>
      </c>
      <c r="AQ22" s="19" t="s">
        <v>77</v>
      </c>
      <c r="AR22" s="19" t="s">
        <v>77</v>
      </c>
    </row>
    <row r="23" spans="1:44" x14ac:dyDescent="0.3">
      <c r="A23" s="19" t="s">
        <v>150</v>
      </c>
      <c r="B23" s="19">
        <v>7</v>
      </c>
      <c r="C23" s="19" t="s">
        <v>53</v>
      </c>
      <c r="D23" s="19">
        <v>3</v>
      </c>
      <c r="E23" s="19">
        <v>20</v>
      </c>
      <c r="F23" s="19"/>
      <c r="G23" s="19">
        <v>100</v>
      </c>
      <c r="H23" s="19">
        <v>4</v>
      </c>
      <c r="I23" s="19"/>
      <c r="J23" s="19">
        <v>1277</v>
      </c>
      <c r="K23" s="48" t="str">
        <f t="shared" si="9"/>
        <v/>
      </c>
      <c r="L23" s="19">
        <v>2.98</v>
      </c>
      <c r="M23" s="19">
        <f t="shared" si="10"/>
        <v>11.92</v>
      </c>
      <c r="N23" s="19">
        <v>3.71</v>
      </c>
      <c r="O23" s="19">
        <v>1.24</v>
      </c>
      <c r="P23" s="19">
        <v>5.25</v>
      </c>
      <c r="Q23" s="19">
        <f t="shared" si="11"/>
        <v>236190.47619047621</v>
      </c>
      <c r="R23" s="19"/>
      <c r="S23" s="52">
        <f t="shared" si="12"/>
        <v>6.51</v>
      </c>
      <c r="T23" s="19">
        <v>80.099999999999994</v>
      </c>
      <c r="U23" s="19">
        <f t="shared" si="13"/>
        <v>0.17192910027940972</v>
      </c>
      <c r="V23" s="19">
        <f t="shared" si="14"/>
        <v>1.1238032959998794</v>
      </c>
      <c r="W23" s="19">
        <f t="shared" si="15"/>
        <v>0.90572120000001011</v>
      </c>
      <c r="X23" s="19">
        <v>1.022</v>
      </c>
      <c r="Y23" s="19">
        <v>0.14899999999999999</v>
      </c>
      <c r="Z23" s="19">
        <f t="shared" si="16"/>
        <v>9.9611835616320317</v>
      </c>
      <c r="AA23" s="48">
        <f t="shared" si="17"/>
        <v>0.18709555853001333</v>
      </c>
      <c r="AB23" s="19" t="s">
        <v>74</v>
      </c>
      <c r="AC23" s="19">
        <v>1225</v>
      </c>
      <c r="AD23" s="19">
        <v>192</v>
      </c>
      <c r="AE23" s="19">
        <v>118</v>
      </c>
      <c r="AF23" s="19">
        <v>29</v>
      </c>
      <c r="AG23" s="19">
        <v>24</v>
      </c>
      <c r="AH23" s="19">
        <v>18</v>
      </c>
      <c r="AI23" s="19"/>
      <c r="AJ23" s="19"/>
      <c r="AK23" s="19"/>
      <c r="AL23" s="19"/>
      <c r="AM23" s="19">
        <v>78</v>
      </c>
      <c r="AN23" s="19" t="s">
        <v>55</v>
      </c>
      <c r="AO23" s="19">
        <v>0</v>
      </c>
      <c r="AP23" s="19" t="s">
        <v>77</v>
      </c>
      <c r="AQ23" s="19" t="s">
        <v>77</v>
      </c>
      <c r="AR23" s="19" t="s">
        <v>77</v>
      </c>
    </row>
    <row r="24" spans="1:44" x14ac:dyDescent="0.3">
      <c r="A24" s="19" t="s">
        <v>150</v>
      </c>
      <c r="B24" s="19">
        <v>8</v>
      </c>
      <c r="C24" s="19" t="s">
        <v>53</v>
      </c>
      <c r="D24" s="19">
        <v>3</v>
      </c>
      <c r="E24" s="19">
        <v>30</v>
      </c>
      <c r="F24" s="19"/>
      <c r="G24" s="19">
        <v>100</v>
      </c>
      <c r="H24" s="19">
        <v>4</v>
      </c>
      <c r="I24" s="19"/>
      <c r="J24" s="19">
        <v>1517</v>
      </c>
      <c r="K24" s="48" t="str">
        <f t="shared" si="9"/>
        <v/>
      </c>
      <c r="L24" s="19">
        <v>3.3</v>
      </c>
      <c r="M24" s="19">
        <f t="shared" si="10"/>
        <v>13.2</v>
      </c>
      <c r="N24" s="19">
        <v>3.24</v>
      </c>
      <c r="O24" s="19">
        <v>1.0529999999999999</v>
      </c>
      <c r="P24" s="19">
        <v>6.27</v>
      </c>
      <c r="Q24" s="19">
        <f t="shared" si="11"/>
        <v>167942.58373205742</v>
      </c>
      <c r="R24" s="19"/>
      <c r="S24" s="52">
        <f t="shared" si="12"/>
        <v>6.6023099999999992</v>
      </c>
      <c r="T24" s="19">
        <v>79.3</v>
      </c>
      <c r="U24" s="19">
        <f t="shared" si="13"/>
        <v>0.18566661538557741</v>
      </c>
      <c r="V24" s="19">
        <f t="shared" si="14"/>
        <v>1.2303802291948966</v>
      </c>
      <c r="W24" s="19">
        <f t="shared" si="15"/>
        <v>0.90678937657614422</v>
      </c>
      <c r="X24" s="19"/>
      <c r="Y24" s="19"/>
      <c r="Z24" s="19" t="str">
        <f t="shared" si="16"/>
        <v/>
      </c>
      <c r="AA24" s="48" t="str">
        <f t="shared" si="17"/>
        <v/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 t="s">
        <v>77</v>
      </c>
      <c r="AQ24" s="19" t="s">
        <v>77</v>
      </c>
      <c r="AR24" s="19" t="s">
        <v>201</v>
      </c>
    </row>
    <row r="25" spans="1:44" x14ac:dyDescent="0.3">
      <c r="A25" s="19" t="s">
        <v>150</v>
      </c>
      <c r="B25" s="19">
        <v>9</v>
      </c>
      <c r="C25" s="19" t="s">
        <v>53</v>
      </c>
      <c r="D25" s="19">
        <v>3</v>
      </c>
      <c r="E25" s="19">
        <v>40</v>
      </c>
      <c r="F25" s="19"/>
      <c r="G25" s="19">
        <v>100</v>
      </c>
      <c r="H25" s="19">
        <v>4</v>
      </c>
      <c r="I25" s="19"/>
      <c r="J25" s="19"/>
      <c r="K25" s="48" t="str">
        <f t="shared" si="9"/>
        <v/>
      </c>
      <c r="L25" s="19"/>
      <c r="M25" s="19">
        <f t="shared" si="10"/>
        <v>0</v>
      </c>
      <c r="N25" s="19"/>
      <c r="O25" s="19"/>
      <c r="P25" s="19"/>
      <c r="Q25" s="19" t="str">
        <f t="shared" si="11"/>
        <v/>
      </c>
      <c r="R25" s="19"/>
      <c r="S25" s="52" t="str">
        <f t="shared" si="12"/>
        <v/>
      </c>
      <c r="T25" s="19"/>
      <c r="U25" s="19" t="str">
        <f t="shared" si="13"/>
        <v/>
      </c>
      <c r="V25" s="19" t="str">
        <f t="shared" si="14"/>
        <v/>
      </c>
      <c r="W25" s="19" t="str">
        <f t="shared" si="15"/>
        <v/>
      </c>
      <c r="X25" s="19"/>
      <c r="Y25" s="19"/>
      <c r="Z25" s="19" t="str">
        <f t="shared" si="16"/>
        <v/>
      </c>
      <c r="AA25" s="48" t="str">
        <f t="shared" si="17"/>
        <v/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 t="s">
        <v>77</v>
      </c>
      <c r="AQ25" s="19" t="s">
        <v>77</v>
      </c>
      <c r="AR25" s="19" t="s">
        <v>77</v>
      </c>
    </row>
    <row r="26" spans="1:44" x14ac:dyDescent="0.3">
      <c r="A26" s="19" t="s">
        <v>150</v>
      </c>
      <c r="B26" s="19">
        <v>10</v>
      </c>
      <c r="C26" s="19" t="s">
        <v>53</v>
      </c>
      <c r="D26" s="19">
        <v>3</v>
      </c>
      <c r="E26" s="19">
        <v>50</v>
      </c>
      <c r="F26" s="19"/>
      <c r="G26" s="19">
        <v>100</v>
      </c>
      <c r="H26" s="19">
        <v>4</v>
      </c>
      <c r="I26" s="19"/>
      <c r="J26" s="19"/>
      <c r="K26" s="48" t="str">
        <f t="shared" si="9"/>
        <v/>
      </c>
      <c r="L26" s="19"/>
      <c r="M26" s="19">
        <f t="shared" si="10"/>
        <v>0</v>
      </c>
      <c r="N26" s="19"/>
      <c r="O26" s="19"/>
      <c r="P26" s="19"/>
      <c r="Q26" s="19" t="str">
        <f t="shared" si="11"/>
        <v/>
      </c>
      <c r="R26" s="19"/>
      <c r="S26" s="52" t="str">
        <f t="shared" si="12"/>
        <v/>
      </c>
      <c r="T26" s="19"/>
      <c r="U26" s="19" t="str">
        <f t="shared" si="13"/>
        <v/>
      </c>
      <c r="V26" s="19" t="str">
        <f t="shared" si="14"/>
        <v/>
      </c>
      <c r="W26" s="19" t="str">
        <f t="shared" si="15"/>
        <v/>
      </c>
      <c r="X26" s="19"/>
      <c r="Y26" s="19"/>
      <c r="Z26" s="19" t="str">
        <f t="shared" si="16"/>
        <v/>
      </c>
      <c r="AA26" s="48" t="str">
        <f t="shared" si="17"/>
        <v/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 t="s">
        <v>77</v>
      </c>
      <c r="AQ26" s="19" t="s">
        <v>77</v>
      </c>
      <c r="AR26" s="19" t="s">
        <v>77</v>
      </c>
    </row>
    <row r="27" spans="1:44" x14ac:dyDescent="0.3">
      <c r="A27" s="19" t="s">
        <v>150</v>
      </c>
      <c r="B27" s="19">
        <v>11</v>
      </c>
      <c r="C27" s="19" t="s">
        <v>53</v>
      </c>
      <c r="D27" s="19">
        <v>3</v>
      </c>
      <c r="E27" s="19">
        <v>60</v>
      </c>
      <c r="F27" s="19"/>
      <c r="G27" s="19">
        <v>100</v>
      </c>
      <c r="H27" s="19">
        <v>4</v>
      </c>
      <c r="I27" s="19"/>
      <c r="J27" s="19"/>
      <c r="K27" s="48" t="str">
        <f t="shared" si="9"/>
        <v/>
      </c>
      <c r="L27" s="19"/>
      <c r="M27" s="19">
        <f t="shared" si="10"/>
        <v>0</v>
      </c>
      <c r="N27" s="19"/>
      <c r="O27" s="19"/>
      <c r="P27" s="19"/>
      <c r="Q27" s="19" t="str">
        <f t="shared" si="11"/>
        <v/>
      </c>
      <c r="R27" s="19"/>
      <c r="S27" s="52" t="str">
        <f t="shared" si="12"/>
        <v/>
      </c>
      <c r="T27" s="19"/>
      <c r="U27" s="19" t="str">
        <f t="shared" si="13"/>
        <v/>
      </c>
      <c r="V27" s="19" t="str">
        <f t="shared" si="14"/>
        <v/>
      </c>
      <c r="W27" s="19" t="str">
        <f t="shared" si="15"/>
        <v/>
      </c>
      <c r="X27" s="19"/>
      <c r="Y27" s="19"/>
      <c r="Z27" s="19" t="str">
        <f t="shared" si="16"/>
        <v/>
      </c>
      <c r="AA27" s="48" t="str">
        <f t="shared" si="17"/>
        <v/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 t="s">
        <v>77</v>
      </c>
      <c r="AQ27" s="19" t="s">
        <v>77</v>
      </c>
      <c r="AR27" s="19" t="s">
        <v>77</v>
      </c>
    </row>
    <row r="28" spans="1:44" ht="18" customHeight="1" x14ac:dyDescent="0.3">
      <c r="A28" s="54" t="s">
        <v>202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6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</row>
    <row r="29" spans="1:44" x14ac:dyDescent="0.3">
      <c r="A29" s="19" t="s">
        <v>156</v>
      </c>
      <c r="B29" s="19">
        <v>1</v>
      </c>
      <c r="C29" s="19" t="s">
        <v>53</v>
      </c>
      <c r="D29" s="19">
        <v>1</v>
      </c>
      <c r="E29" s="19">
        <v>5</v>
      </c>
      <c r="F29" s="19"/>
      <c r="G29" s="19">
        <v>100</v>
      </c>
      <c r="H29" s="19">
        <v>2</v>
      </c>
      <c r="I29" s="19">
        <v>2</v>
      </c>
      <c r="J29" s="19"/>
      <c r="K29" s="48">
        <f t="shared" ref="K29:K40" si="18">IF(COUNT(J29,I29)=0,"",IFERROR(J29/1000/I29,""))</f>
        <v>0</v>
      </c>
      <c r="L29" s="19"/>
      <c r="M29" s="19">
        <f t="shared" ref="M29:M40" si="19">IF(COUNT(H29,L29)=0,"",IFERROR(H29*L29,""))</f>
        <v>0</v>
      </c>
      <c r="N29" s="19"/>
      <c r="O29" s="19"/>
      <c r="P29" s="19"/>
      <c r="Q29" s="19" t="str">
        <f t="shared" ref="Q29:Q40" si="20">IF(COUNT(O29,P29)=0,"",IFERROR(O29*1000/P29*1000,""))</f>
        <v/>
      </c>
      <c r="R29" s="19"/>
      <c r="S29" s="52" t="str">
        <f t="shared" ref="S29:S40" si="21">IF(COUNT(O29,P29)=0,"",IFERROR(O29*P29,""))</f>
        <v/>
      </c>
      <c r="T29" s="19"/>
      <c r="U29" s="19" t="str">
        <f t="shared" ref="U29:U40" si="22">IF(COUNT(T29)=0,"",IFERROR(COS(T29/180*PI()),""))</f>
        <v/>
      </c>
      <c r="V29" s="19" t="str">
        <f t="shared" ref="V29:V40" si="23">IF(COUNT(S29,T29)=0,"",IFERROR(S29*COS(T29/360*2*3.14),""))</f>
        <v/>
      </c>
      <c r="W29" s="19" t="str">
        <f t="shared" ref="W29:W40" si="24">IF(COUNT(V29,M29)=0,"",IFERROR(1-V29/M29,""))</f>
        <v/>
      </c>
      <c r="X29" s="19"/>
      <c r="Y29" s="19"/>
      <c r="Z29" s="19" t="str">
        <f t="shared" ref="Z29:Z40" si="25">IFERROR(IF(OR(V29="",X29="",X29=0),"",(V29-X29)/X29*100),"")</f>
        <v/>
      </c>
      <c r="AA29" s="48" t="str">
        <f t="shared" ref="AA29:AA40" si="26">IF(COUNT(AD29,AE29,AF29,AG29,AH29,AI29,AJ29,AK29,AL29,AC29)=0,"",IFERROR(SQRT(AD29^2+AE29^2+AF29^2+AG29^2+AH29^2+AI29^2+AJ29^2+AK29^2+AL29^2)/AC29,""))</f>
        <v/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1:44" x14ac:dyDescent="0.3">
      <c r="A30" s="19" t="s">
        <v>156</v>
      </c>
      <c r="B30" s="19">
        <v>2</v>
      </c>
      <c r="C30" s="19" t="s">
        <v>53</v>
      </c>
      <c r="D30" s="19">
        <v>1</v>
      </c>
      <c r="E30" s="19">
        <v>6</v>
      </c>
      <c r="F30" s="19"/>
      <c r="G30" s="19">
        <v>100</v>
      </c>
      <c r="H30" s="19">
        <v>2</v>
      </c>
      <c r="I30" s="19">
        <v>2</v>
      </c>
      <c r="J30" s="19">
        <v>398.8</v>
      </c>
      <c r="K30" s="48">
        <f t="shared" si="18"/>
        <v>0.19939999999999999</v>
      </c>
      <c r="L30" s="19">
        <v>0.54</v>
      </c>
      <c r="M30" s="19">
        <f t="shared" si="19"/>
        <v>1.08</v>
      </c>
      <c r="N30" s="19">
        <v>1.78</v>
      </c>
      <c r="O30" s="19">
        <v>0.63700000000000001</v>
      </c>
      <c r="P30" s="19">
        <v>3.75</v>
      </c>
      <c r="Q30" s="19">
        <f t="shared" si="20"/>
        <v>169866.66666666669</v>
      </c>
      <c r="R30" s="19"/>
      <c r="S30" s="52">
        <f t="shared" si="21"/>
        <v>2.3887499999999999</v>
      </c>
      <c r="T30" s="19">
        <v>75.900000000000006</v>
      </c>
      <c r="U30" s="19">
        <f t="shared" si="22"/>
        <v>0.24361501178602257</v>
      </c>
      <c r="V30" s="19">
        <f t="shared" si="23"/>
        <v>0.58349110671862203</v>
      </c>
      <c r="W30" s="19">
        <f>IF(COUNT(V30,M30)=0,"",IFERROR(1-V30/M30,""))</f>
        <v>0.45973045674201662</v>
      </c>
      <c r="X30" s="19"/>
      <c r="Y30" s="19"/>
      <c r="Z30" s="19" t="str">
        <f t="shared" si="25"/>
        <v/>
      </c>
      <c r="AA30" s="48">
        <f t="shared" si="26"/>
        <v>0.14536975196660556</v>
      </c>
      <c r="AB30" s="19" t="s">
        <v>168</v>
      </c>
      <c r="AC30" s="19">
        <v>642</v>
      </c>
      <c r="AD30" s="19">
        <v>90</v>
      </c>
      <c r="AE30" s="19">
        <v>23</v>
      </c>
      <c r="AF30" s="19">
        <v>9</v>
      </c>
      <c r="AG30" s="19"/>
      <c r="AH30" s="19"/>
      <c r="AI30" s="19"/>
      <c r="AJ30" s="19"/>
      <c r="AK30" s="19"/>
      <c r="AL30" s="19"/>
      <c r="AM30" s="19">
        <v>28</v>
      </c>
      <c r="AN30" s="19" t="s">
        <v>55</v>
      </c>
      <c r="AO30" s="19">
        <v>0</v>
      </c>
      <c r="AP30" s="19"/>
      <c r="AQ30" s="19"/>
      <c r="AR30" s="19"/>
    </row>
    <row r="31" spans="1:44" x14ac:dyDescent="0.3">
      <c r="A31" s="19" t="s">
        <v>156</v>
      </c>
      <c r="B31" s="19">
        <v>3</v>
      </c>
      <c r="C31" s="19" t="s">
        <v>53</v>
      </c>
      <c r="D31" s="19">
        <v>1</v>
      </c>
      <c r="E31" s="19">
        <v>6.5</v>
      </c>
      <c r="F31" s="19"/>
      <c r="G31" s="19">
        <v>100</v>
      </c>
      <c r="H31" s="19">
        <v>2</v>
      </c>
      <c r="I31" s="19">
        <v>2</v>
      </c>
      <c r="J31" s="19">
        <v>398</v>
      </c>
      <c r="K31" s="48">
        <f t="shared" si="18"/>
        <v>0.19900000000000001</v>
      </c>
      <c r="L31" s="19">
        <v>0.5</v>
      </c>
      <c r="M31" s="19">
        <f t="shared" si="19"/>
        <v>1</v>
      </c>
      <c r="N31" s="19">
        <v>3.43</v>
      </c>
      <c r="O31" s="19">
        <v>1.25</v>
      </c>
      <c r="P31" s="19">
        <v>11.07</v>
      </c>
      <c r="Q31" s="19">
        <f t="shared" si="20"/>
        <v>112917.7958446251</v>
      </c>
      <c r="R31" s="19"/>
      <c r="S31" s="52">
        <f t="shared" si="21"/>
        <v>13.8375</v>
      </c>
      <c r="T31" s="19">
        <v>69</v>
      </c>
      <c r="U31" s="19">
        <f t="shared" si="22"/>
        <v>0.35836794954530016</v>
      </c>
      <c r="V31" s="19">
        <f t="shared" si="23"/>
        <v>4.9668024943821587</v>
      </c>
      <c r="W31" s="19">
        <f t="shared" si="24"/>
        <v>-3.9668024943821587</v>
      </c>
      <c r="X31" s="19"/>
      <c r="Y31" s="19"/>
      <c r="Z31" s="19" t="str">
        <f t="shared" si="25"/>
        <v/>
      </c>
      <c r="AA31" s="48">
        <f t="shared" si="26"/>
        <v>7.4604726513432404E-2</v>
      </c>
      <c r="AB31" s="19" t="s">
        <v>168</v>
      </c>
      <c r="AC31" s="19">
        <v>1216</v>
      </c>
      <c r="AD31" s="19">
        <v>85</v>
      </c>
      <c r="AE31" s="19">
        <v>29</v>
      </c>
      <c r="AF31" s="19">
        <v>10</v>
      </c>
      <c r="AG31" s="19">
        <v>8</v>
      </c>
      <c r="AH31" s="19"/>
      <c r="AI31" s="19"/>
      <c r="AJ31" s="19"/>
      <c r="AK31" s="19"/>
      <c r="AL31" s="19"/>
      <c r="AM31" s="19">
        <v>27</v>
      </c>
      <c r="AN31" s="19" t="s">
        <v>55</v>
      </c>
      <c r="AO31" s="19">
        <v>0</v>
      </c>
      <c r="AP31" s="19"/>
      <c r="AQ31" s="19"/>
      <c r="AR31" s="19"/>
    </row>
    <row r="32" spans="1:44" x14ac:dyDescent="0.3">
      <c r="A32" s="19" t="s">
        <v>156</v>
      </c>
      <c r="B32" s="19">
        <v>4</v>
      </c>
      <c r="C32" s="19" t="s">
        <v>53</v>
      </c>
      <c r="D32" s="19">
        <v>1</v>
      </c>
      <c r="E32" s="19">
        <v>7</v>
      </c>
      <c r="F32" s="19"/>
      <c r="G32" s="19">
        <v>100</v>
      </c>
      <c r="H32" s="19">
        <v>2</v>
      </c>
      <c r="I32" s="19">
        <v>2</v>
      </c>
      <c r="J32" s="19">
        <v>398</v>
      </c>
      <c r="K32" s="48">
        <f t="shared" si="18"/>
        <v>0.19900000000000001</v>
      </c>
      <c r="L32" s="19">
        <v>0.52</v>
      </c>
      <c r="M32" s="19">
        <f t="shared" si="19"/>
        <v>1.04</v>
      </c>
      <c r="N32" s="19">
        <v>3.24</v>
      </c>
      <c r="O32" s="19">
        <v>1.1599999999999999</v>
      </c>
      <c r="P32" s="19">
        <v>11.77</v>
      </c>
      <c r="Q32" s="19">
        <f t="shared" si="20"/>
        <v>98555.649957519126</v>
      </c>
      <c r="R32" s="19"/>
      <c r="S32" s="52">
        <f t="shared" si="21"/>
        <v>13.653199999999998</v>
      </c>
      <c r="T32" s="19">
        <v>61.4</v>
      </c>
      <c r="U32" s="19">
        <f t="shared" si="22"/>
        <v>0.47869185794060687</v>
      </c>
      <c r="V32" s="19">
        <f t="shared" si="23"/>
        <v>6.5421870600976737</v>
      </c>
      <c r="W32" s="19">
        <f t="shared" si="24"/>
        <v>-5.2905644808631473</v>
      </c>
      <c r="X32" s="19"/>
      <c r="Y32" s="19"/>
      <c r="Z32" s="19" t="str">
        <f t="shared" si="25"/>
        <v/>
      </c>
      <c r="AA32" s="48">
        <f t="shared" si="26"/>
        <v>7.6637686151174167E-2</v>
      </c>
      <c r="AB32" s="19" t="s">
        <v>168</v>
      </c>
      <c r="AC32" s="19">
        <v>1151</v>
      </c>
      <c r="AD32" s="19">
        <v>84</v>
      </c>
      <c r="AE32" s="19">
        <v>25</v>
      </c>
      <c r="AF32" s="19">
        <v>8</v>
      </c>
      <c r="AG32" s="19">
        <v>6</v>
      </c>
      <c r="AH32" s="19"/>
      <c r="AI32" s="19"/>
      <c r="AJ32" s="19"/>
      <c r="AK32" s="19"/>
      <c r="AL32" s="19"/>
      <c r="AM32" s="19">
        <v>27</v>
      </c>
      <c r="AN32" s="19" t="s">
        <v>55</v>
      </c>
      <c r="AO32" s="19">
        <v>0</v>
      </c>
      <c r="AP32" s="19"/>
      <c r="AQ32" s="19"/>
      <c r="AR32" s="19"/>
    </row>
    <row r="33" spans="1:44" x14ac:dyDescent="0.3">
      <c r="A33" s="19" t="s">
        <v>156</v>
      </c>
      <c r="B33" s="19">
        <v>5</v>
      </c>
      <c r="C33" s="19" t="s">
        <v>53</v>
      </c>
      <c r="D33" s="19">
        <v>1</v>
      </c>
      <c r="E33" s="19">
        <v>7.5</v>
      </c>
      <c r="F33" s="19"/>
      <c r="G33" s="19">
        <v>100</v>
      </c>
      <c r="H33" s="19">
        <v>2</v>
      </c>
      <c r="I33" s="19">
        <v>2</v>
      </c>
      <c r="J33" s="19">
        <v>398</v>
      </c>
      <c r="K33" s="48">
        <f t="shared" si="18"/>
        <v>0.19900000000000001</v>
      </c>
      <c r="L33" s="19">
        <v>0.54</v>
      </c>
      <c r="M33" s="19">
        <f t="shared" si="19"/>
        <v>1.08</v>
      </c>
      <c r="N33" s="19">
        <v>2.39</v>
      </c>
      <c r="O33" s="19">
        <v>0.83</v>
      </c>
      <c r="P33" s="19">
        <v>10.220000000000001</v>
      </c>
      <c r="Q33" s="19">
        <f t="shared" si="20"/>
        <v>81213.307240704497</v>
      </c>
      <c r="R33" s="19"/>
      <c r="S33" s="52">
        <f t="shared" si="21"/>
        <v>8.4825999999999997</v>
      </c>
      <c r="T33" s="19">
        <v>60.7</v>
      </c>
      <c r="U33" s="19">
        <f t="shared" si="22"/>
        <v>0.48938245174884626</v>
      </c>
      <c r="V33" s="19">
        <f t="shared" si="23"/>
        <v>4.155207976399252</v>
      </c>
      <c r="W33" s="19">
        <f t="shared" si="24"/>
        <v>-2.8474147929622702</v>
      </c>
      <c r="X33" s="19"/>
      <c r="Y33" s="19"/>
      <c r="Z33" s="19" t="str">
        <f t="shared" si="25"/>
        <v/>
      </c>
      <c r="AA33" s="48">
        <f t="shared" si="26"/>
        <v>9.9392779046470786E-2</v>
      </c>
      <c r="AB33" s="19" t="s">
        <v>168</v>
      </c>
      <c r="AC33" s="19">
        <v>831</v>
      </c>
      <c r="AD33" s="19">
        <v>81</v>
      </c>
      <c r="AE33" s="19">
        <v>15</v>
      </c>
      <c r="AF33" s="19">
        <v>6</v>
      </c>
      <c r="AG33" s="19"/>
      <c r="AH33" s="19"/>
      <c r="AI33" s="19"/>
      <c r="AJ33" s="19"/>
      <c r="AK33" s="19"/>
      <c r="AL33" s="19"/>
      <c r="AM33" s="19">
        <v>28</v>
      </c>
      <c r="AN33" s="19" t="s">
        <v>55</v>
      </c>
      <c r="AO33" s="19">
        <v>0</v>
      </c>
      <c r="AP33" s="19"/>
      <c r="AQ33" s="19"/>
      <c r="AR33" s="19"/>
    </row>
    <row r="34" spans="1:44" x14ac:dyDescent="0.3">
      <c r="A34" s="19" t="s">
        <v>156</v>
      </c>
      <c r="B34" s="19">
        <v>6</v>
      </c>
      <c r="C34" s="19" t="s">
        <v>53</v>
      </c>
      <c r="D34" s="19">
        <v>1</v>
      </c>
      <c r="E34" s="19">
        <v>8</v>
      </c>
      <c r="F34" s="19"/>
      <c r="G34" s="19">
        <v>100</v>
      </c>
      <c r="H34" s="19">
        <v>2</v>
      </c>
      <c r="I34" s="19">
        <v>2</v>
      </c>
      <c r="J34" s="19">
        <v>398</v>
      </c>
      <c r="K34" s="48">
        <f t="shared" si="18"/>
        <v>0.19900000000000001</v>
      </c>
      <c r="L34" s="19">
        <v>0.54</v>
      </c>
      <c r="M34" s="19">
        <f t="shared" si="19"/>
        <v>1.08</v>
      </c>
      <c r="N34" s="19">
        <v>1.69</v>
      </c>
      <c r="O34" s="19">
        <v>0.58299999999999996</v>
      </c>
      <c r="P34" s="19">
        <v>8.7799999999999994</v>
      </c>
      <c r="Q34" s="19">
        <f t="shared" si="20"/>
        <v>66400.911161731216</v>
      </c>
      <c r="R34" s="19"/>
      <c r="S34" s="52">
        <f t="shared" si="21"/>
        <v>5.118739999999999</v>
      </c>
      <c r="T34" s="19">
        <v>63.8</v>
      </c>
      <c r="U34" s="19">
        <f t="shared" si="22"/>
        <v>0.4415058527917452</v>
      </c>
      <c r="V34" s="19">
        <f t="shared" si="23"/>
        <v>2.2625459956766996</v>
      </c>
      <c r="W34" s="19">
        <f t="shared" si="24"/>
        <v>-1.0949499959969438</v>
      </c>
      <c r="X34" s="19"/>
      <c r="Y34" s="19"/>
      <c r="Z34" s="19" t="str">
        <f t="shared" si="25"/>
        <v/>
      </c>
      <c r="AA34" s="48">
        <f t="shared" si="26"/>
        <v>0.14801444043321299</v>
      </c>
      <c r="AB34" s="19" t="s">
        <v>168</v>
      </c>
      <c r="AC34" s="19">
        <v>554</v>
      </c>
      <c r="AD34" s="19">
        <v>80</v>
      </c>
      <c r="AE34" s="19">
        <v>18</v>
      </c>
      <c r="AF34" s="19"/>
      <c r="AG34" s="19"/>
      <c r="AH34" s="19"/>
      <c r="AI34" s="19"/>
      <c r="AJ34" s="19"/>
      <c r="AK34" s="19"/>
      <c r="AL34" s="19"/>
      <c r="AM34" s="19">
        <v>28</v>
      </c>
      <c r="AN34" s="19" t="s">
        <v>55</v>
      </c>
      <c r="AO34" s="19">
        <v>0</v>
      </c>
      <c r="AP34" s="19"/>
      <c r="AQ34" s="19"/>
      <c r="AR34" s="19"/>
    </row>
    <row r="35" spans="1:44" x14ac:dyDescent="0.3">
      <c r="A35" s="19" t="s">
        <v>156</v>
      </c>
      <c r="B35" s="19">
        <v>7</v>
      </c>
      <c r="C35" s="19" t="s">
        <v>53</v>
      </c>
      <c r="D35" s="19">
        <v>1</v>
      </c>
      <c r="E35" s="19">
        <v>9</v>
      </c>
      <c r="F35" s="19"/>
      <c r="G35" s="19">
        <v>100</v>
      </c>
      <c r="H35" s="19">
        <v>2</v>
      </c>
      <c r="I35" s="19">
        <v>2</v>
      </c>
      <c r="J35" s="19">
        <v>398</v>
      </c>
      <c r="K35" s="48">
        <f t="shared" si="18"/>
        <v>0.19900000000000001</v>
      </c>
      <c r="L35" s="19">
        <v>0.54</v>
      </c>
      <c r="M35" s="19">
        <f t="shared" si="19"/>
        <v>1.08</v>
      </c>
      <c r="N35" s="19">
        <v>1.1499999999999999</v>
      </c>
      <c r="O35" s="19">
        <v>0.34599999999999997</v>
      </c>
      <c r="P35" s="19">
        <v>7.14</v>
      </c>
      <c r="Q35" s="19">
        <f t="shared" si="20"/>
        <v>48459.383753501403</v>
      </c>
      <c r="R35" s="19"/>
      <c r="S35" s="52">
        <f t="shared" si="21"/>
        <v>2.4704399999999995</v>
      </c>
      <c r="T35" s="19">
        <v>72</v>
      </c>
      <c r="U35" s="19">
        <f t="shared" si="22"/>
        <v>0.30901699437494745</v>
      </c>
      <c r="V35" s="19">
        <f t="shared" si="23"/>
        <v>0.76490458228859426</v>
      </c>
      <c r="W35" s="19">
        <f t="shared" si="24"/>
        <v>0.29175501639944978</v>
      </c>
      <c r="X35" s="19"/>
      <c r="Y35" s="19"/>
      <c r="Z35" s="19" t="str">
        <f t="shared" si="25"/>
        <v/>
      </c>
      <c r="AA35" s="48">
        <f t="shared" si="26"/>
        <v>0.21980252225333388</v>
      </c>
      <c r="AB35" s="19" t="s">
        <v>168</v>
      </c>
      <c r="AC35" s="19">
        <v>340</v>
      </c>
      <c r="AD35" s="19">
        <v>73</v>
      </c>
      <c r="AE35" s="19">
        <v>16</v>
      </c>
      <c r="AF35" s="19"/>
      <c r="AG35" s="19"/>
      <c r="AH35" s="19"/>
      <c r="AI35" s="19"/>
      <c r="AJ35" s="19"/>
      <c r="AK35" s="19"/>
      <c r="AL35" s="19"/>
      <c r="AM35" s="19">
        <v>28</v>
      </c>
      <c r="AN35" s="19" t="s">
        <v>55</v>
      </c>
      <c r="AO35" s="19">
        <v>0</v>
      </c>
      <c r="AP35" s="19"/>
      <c r="AQ35" s="19"/>
      <c r="AR35" s="19"/>
    </row>
    <row r="36" spans="1:44" x14ac:dyDescent="0.3">
      <c r="A36" s="19" t="s">
        <v>156</v>
      </c>
      <c r="B36" s="19">
        <v>8</v>
      </c>
      <c r="C36" s="19" t="s">
        <v>53</v>
      </c>
      <c r="D36" s="19">
        <v>1</v>
      </c>
      <c r="E36" s="19">
        <v>10</v>
      </c>
      <c r="F36" s="19"/>
      <c r="G36" s="19">
        <v>100</v>
      </c>
      <c r="H36" s="19">
        <v>2</v>
      </c>
      <c r="I36" s="19">
        <v>2</v>
      </c>
      <c r="J36" s="19">
        <v>398</v>
      </c>
      <c r="K36" s="48">
        <f t="shared" si="18"/>
        <v>0.19900000000000001</v>
      </c>
      <c r="L36" s="19">
        <v>0.54</v>
      </c>
      <c r="M36" s="19">
        <f t="shared" si="19"/>
        <v>1.08</v>
      </c>
      <c r="N36" s="19">
        <v>0.76600000000000001</v>
      </c>
      <c r="O36" s="19">
        <v>0.28000000000000003</v>
      </c>
      <c r="P36" s="19">
        <v>6.61</v>
      </c>
      <c r="Q36" s="19">
        <f t="shared" si="20"/>
        <v>42360.060514372155</v>
      </c>
      <c r="R36" s="19"/>
      <c r="S36" s="52">
        <f t="shared" si="21"/>
        <v>1.8508000000000002</v>
      </c>
      <c r="T36" s="19">
        <v>82.1</v>
      </c>
      <c r="U36" s="19">
        <f t="shared" si="22"/>
        <v>0.13744454603714681</v>
      </c>
      <c r="V36" s="19">
        <f t="shared" si="23"/>
        <v>0.25571400990657833</v>
      </c>
      <c r="W36" s="19">
        <f t="shared" si="24"/>
        <v>0.76322776860502006</v>
      </c>
      <c r="X36" s="19"/>
      <c r="Y36" s="19"/>
      <c r="Z36" s="19" t="str">
        <f t="shared" si="25"/>
        <v/>
      </c>
      <c r="AA36" s="48">
        <f t="shared" si="26"/>
        <v>0.11008204011352422</v>
      </c>
      <c r="AB36" s="19" t="s">
        <v>168</v>
      </c>
      <c r="AC36" s="19">
        <v>240</v>
      </c>
      <c r="AD36" s="19">
        <v>23</v>
      </c>
      <c r="AE36" s="19">
        <v>13</v>
      </c>
      <c r="AF36" s="19"/>
      <c r="AG36" s="19"/>
      <c r="AH36" s="19"/>
      <c r="AI36" s="19"/>
      <c r="AJ36" s="19"/>
      <c r="AK36" s="19"/>
      <c r="AL36" s="19"/>
      <c r="AM36" s="19">
        <v>28</v>
      </c>
      <c r="AN36" s="19" t="s">
        <v>55</v>
      </c>
      <c r="AO36" s="19">
        <v>0</v>
      </c>
      <c r="AP36" s="19"/>
      <c r="AQ36" s="19"/>
      <c r="AR36" s="19"/>
    </row>
    <row r="37" spans="1:44" x14ac:dyDescent="0.3">
      <c r="A37" s="19" t="s">
        <v>156</v>
      </c>
      <c r="B37" s="19">
        <v>9</v>
      </c>
      <c r="C37" s="19" t="s">
        <v>53</v>
      </c>
      <c r="D37" s="19">
        <v>1</v>
      </c>
      <c r="E37" s="19">
        <v>15</v>
      </c>
      <c r="F37" s="19"/>
      <c r="G37" s="19">
        <v>100</v>
      </c>
      <c r="H37" s="19">
        <v>2</v>
      </c>
      <c r="I37" s="19">
        <v>2</v>
      </c>
      <c r="J37" s="19">
        <v>398</v>
      </c>
      <c r="K37" s="48">
        <f t="shared" si="18"/>
        <v>0.19900000000000001</v>
      </c>
      <c r="L37" s="19">
        <v>0.54</v>
      </c>
      <c r="M37" s="19">
        <f t="shared" si="19"/>
        <v>1.08</v>
      </c>
      <c r="N37" s="19">
        <v>0.34499999999999997</v>
      </c>
      <c r="O37" s="19">
        <v>0.106</v>
      </c>
      <c r="P37" s="19">
        <v>5.91</v>
      </c>
      <c r="Q37" s="19">
        <f t="shared" si="20"/>
        <v>17935.702199661591</v>
      </c>
      <c r="R37" s="19"/>
      <c r="S37" s="52">
        <f t="shared" si="21"/>
        <v>0.62646000000000002</v>
      </c>
      <c r="T37" s="19">
        <v>134.69999999999999</v>
      </c>
      <c r="U37" s="19">
        <f t="shared" si="22"/>
        <v>-0.70339470281050376</v>
      </c>
      <c r="V37" s="19">
        <f t="shared" si="23"/>
        <v>-0.44011762318682224</v>
      </c>
      <c r="W37" s="19">
        <f t="shared" si="24"/>
        <v>1.4075163177655761</v>
      </c>
      <c r="X37" s="19"/>
      <c r="Y37" s="19"/>
      <c r="Z37" s="19" t="str">
        <f t="shared" si="25"/>
        <v/>
      </c>
      <c r="AA37" s="48">
        <f t="shared" si="26"/>
        <v>0.15811388300841897</v>
      </c>
      <c r="AB37" s="19" t="s">
        <v>168</v>
      </c>
      <c r="AC37" s="19">
        <v>100</v>
      </c>
      <c r="AD37" s="19">
        <v>13</v>
      </c>
      <c r="AE37" s="19">
        <v>9</v>
      </c>
      <c r="AF37" s="19"/>
      <c r="AG37" s="19"/>
      <c r="AH37" s="19"/>
      <c r="AI37" s="19"/>
      <c r="AJ37" s="19"/>
      <c r="AK37" s="19"/>
      <c r="AL37" s="19"/>
      <c r="AM37" s="19">
        <v>28</v>
      </c>
      <c r="AN37" s="19" t="s">
        <v>55</v>
      </c>
      <c r="AO37" s="19">
        <v>0</v>
      </c>
      <c r="AP37" s="19"/>
      <c r="AQ37" s="19"/>
      <c r="AR37" s="19"/>
    </row>
    <row r="38" spans="1:44" x14ac:dyDescent="0.3">
      <c r="A38" s="19" t="s">
        <v>156</v>
      </c>
      <c r="B38" s="19">
        <v>10</v>
      </c>
      <c r="C38" s="19" t="s">
        <v>53</v>
      </c>
      <c r="D38" s="19">
        <v>1</v>
      </c>
      <c r="E38" s="19">
        <v>30</v>
      </c>
      <c r="F38" s="19"/>
      <c r="G38" s="19">
        <v>100</v>
      </c>
      <c r="H38" s="19">
        <v>2</v>
      </c>
      <c r="I38" s="19">
        <v>2</v>
      </c>
      <c r="J38" s="19">
        <v>398</v>
      </c>
      <c r="K38" s="48">
        <f t="shared" si="18"/>
        <v>0.19900000000000001</v>
      </c>
      <c r="L38" s="19">
        <v>0.51</v>
      </c>
      <c r="M38" s="19">
        <f t="shared" si="19"/>
        <v>1.02</v>
      </c>
      <c r="N38" s="19">
        <v>0.13600000000000001</v>
      </c>
      <c r="O38" s="19">
        <v>4.1000000000000002E-2</v>
      </c>
      <c r="P38" s="19">
        <v>5.59</v>
      </c>
      <c r="Q38" s="19">
        <f t="shared" si="20"/>
        <v>7334.5259391771024</v>
      </c>
      <c r="R38" s="19"/>
      <c r="S38" s="52">
        <f t="shared" si="21"/>
        <v>0.22919</v>
      </c>
      <c r="T38" s="19" t="s">
        <v>78</v>
      </c>
      <c r="U38" s="19" t="str">
        <f t="shared" si="22"/>
        <v/>
      </c>
      <c r="V38" s="19" t="str">
        <f t="shared" si="23"/>
        <v/>
      </c>
      <c r="W38" s="19" t="str">
        <f t="shared" si="24"/>
        <v/>
      </c>
      <c r="X38" s="19"/>
      <c r="Y38" s="19"/>
      <c r="Z38" s="19" t="str">
        <f t="shared" si="25"/>
        <v/>
      </c>
      <c r="AA38" s="48">
        <f t="shared" si="26"/>
        <v>0</v>
      </c>
      <c r="AB38" s="19" t="s">
        <v>74</v>
      </c>
      <c r="AC38" s="19">
        <v>41</v>
      </c>
      <c r="AD38" s="19"/>
      <c r="AE38" s="19"/>
      <c r="AF38" s="19"/>
      <c r="AG38" s="19"/>
      <c r="AH38" s="19"/>
      <c r="AI38" s="19"/>
      <c r="AJ38" s="19"/>
      <c r="AK38" s="19"/>
      <c r="AL38" s="19"/>
      <c r="AM38" s="19">
        <v>28</v>
      </c>
      <c r="AN38" s="19" t="s">
        <v>55</v>
      </c>
      <c r="AO38" s="19">
        <v>0</v>
      </c>
      <c r="AP38" s="19"/>
      <c r="AQ38" s="19"/>
      <c r="AR38" s="19"/>
    </row>
    <row r="39" spans="1:44" x14ac:dyDescent="0.3">
      <c r="A39" s="19" t="s">
        <v>156</v>
      </c>
      <c r="B39" s="19">
        <v>11</v>
      </c>
      <c r="C39" s="19" t="s">
        <v>53</v>
      </c>
      <c r="D39" s="19">
        <v>1</v>
      </c>
      <c r="E39" s="19">
        <v>45</v>
      </c>
      <c r="F39" s="19"/>
      <c r="G39" s="19">
        <v>100</v>
      </c>
      <c r="H39" s="19">
        <v>2</v>
      </c>
      <c r="I39" s="19">
        <v>2</v>
      </c>
      <c r="J39" s="19">
        <v>398</v>
      </c>
      <c r="K39" s="48">
        <f t="shared" si="18"/>
        <v>0.19900000000000001</v>
      </c>
      <c r="L39" s="19">
        <v>0.48</v>
      </c>
      <c r="M39" s="19">
        <f t="shared" si="19"/>
        <v>0.96</v>
      </c>
      <c r="N39" s="19">
        <v>7.9000000000000001E-2</v>
      </c>
      <c r="O39" s="19">
        <v>2.5000000000000001E-2</v>
      </c>
      <c r="P39" s="19">
        <v>5.09</v>
      </c>
      <c r="Q39" s="19">
        <f t="shared" si="20"/>
        <v>4911.5913555992147</v>
      </c>
      <c r="R39" s="19"/>
      <c r="S39" s="52">
        <f t="shared" si="21"/>
        <v>0.12725</v>
      </c>
      <c r="T39" s="19" t="s">
        <v>78</v>
      </c>
      <c r="U39" s="19" t="str">
        <f t="shared" si="22"/>
        <v/>
      </c>
      <c r="V39" s="19" t="str">
        <f t="shared" si="23"/>
        <v/>
      </c>
      <c r="W39" s="19" t="str">
        <f t="shared" si="24"/>
        <v/>
      </c>
      <c r="X39" s="19"/>
      <c r="Y39" s="19"/>
      <c r="Z39" s="19" t="str">
        <f t="shared" si="25"/>
        <v/>
      </c>
      <c r="AA39" s="48">
        <f t="shared" si="26"/>
        <v>0</v>
      </c>
      <c r="AB39" s="19" t="s">
        <v>74</v>
      </c>
      <c r="AC39" s="19">
        <v>25</v>
      </c>
      <c r="AD39" s="19"/>
      <c r="AE39" s="19"/>
      <c r="AF39" s="19"/>
      <c r="AG39" s="19"/>
      <c r="AH39" s="19"/>
      <c r="AI39" s="19"/>
      <c r="AJ39" s="19"/>
      <c r="AK39" s="19"/>
      <c r="AL39" s="19"/>
      <c r="AM39" s="19">
        <v>28</v>
      </c>
      <c r="AN39" s="19" t="s">
        <v>55</v>
      </c>
      <c r="AO39" s="19">
        <v>0</v>
      </c>
      <c r="AP39" s="19"/>
      <c r="AQ39" s="19"/>
      <c r="AR39" s="19"/>
    </row>
    <row r="40" spans="1:44" x14ac:dyDescent="0.3">
      <c r="A40" s="19" t="s">
        <v>156</v>
      </c>
      <c r="B40" s="19">
        <v>12</v>
      </c>
      <c r="C40" s="19" t="s">
        <v>53</v>
      </c>
      <c r="D40" s="19">
        <v>1</v>
      </c>
      <c r="E40" s="19">
        <v>60</v>
      </c>
      <c r="F40" s="19"/>
      <c r="G40" s="19">
        <v>100</v>
      </c>
      <c r="H40" s="19">
        <v>2</v>
      </c>
      <c r="I40" s="19">
        <v>2</v>
      </c>
      <c r="J40" s="19">
        <v>398</v>
      </c>
      <c r="K40" s="48">
        <f t="shared" si="18"/>
        <v>0.19900000000000001</v>
      </c>
      <c r="L40" s="19">
        <v>0.42</v>
      </c>
      <c r="M40" s="19">
        <f t="shared" si="19"/>
        <v>0.84</v>
      </c>
      <c r="N40" s="19">
        <v>6.2E-2</v>
      </c>
      <c r="O40" s="19">
        <v>1.7999999999999999E-2</v>
      </c>
      <c r="P40" s="19">
        <v>4.7699999999999996</v>
      </c>
      <c r="Q40" s="19">
        <f t="shared" si="20"/>
        <v>3773.5849056603779</v>
      </c>
      <c r="R40" s="19"/>
      <c r="S40" s="52">
        <f t="shared" si="21"/>
        <v>8.5859999999999992E-2</v>
      </c>
      <c r="T40" s="19" t="s">
        <v>78</v>
      </c>
      <c r="U40" s="19" t="str">
        <f t="shared" si="22"/>
        <v/>
      </c>
      <c r="V40" s="19" t="str">
        <f t="shared" si="23"/>
        <v/>
      </c>
      <c r="W40" s="19" t="str">
        <f t="shared" si="24"/>
        <v/>
      </c>
      <c r="X40" s="19"/>
      <c r="Y40" s="19"/>
      <c r="Z40" s="19" t="str">
        <f t="shared" si="25"/>
        <v/>
      </c>
      <c r="AA40" s="48">
        <f t="shared" si="26"/>
        <v>0</v>
      </c>
      <c r="AB40" s="19" t="s">
        <v>74</v>
      </c>
      <c r="AC40" s="19">
        <v>17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>
        <v>28</v>
      </c>
      <c r="AN40" s="19" t="s">
        <v>55</v>
      </c>
      <c r="AO40" s="19">
        <v>0</v>
      </c>
      <c r="AP40" s="19"/>
      <c r="AQ40" s="19"/>
      <c r="AR40" s="19"/>
    </row>
  </sheetData>
  <mergeCells count="11">
    <mergeCell ref="A28:AR28"/>
    <mergeCell ref="A2:H2"/>
    <mergeCell ref="I2:M2"/>
    <mergeCell ref="AM2:AP2"/>
    <mergeCell ref="A1:AR1"/>
    <mergeCell ref="N2:Q2"/>
    <mergeCell ref="A4:AR4"/>
    <mergeCell ref="A16:AR16"/>
    <mergeCell ref="AQ2:AR2"/>
    <mergeCell ref="R2:Z2"/>
    <mergeCell ref="AA2:A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AR46"/>
  <sheetViews>
    <sheetView showGridLines="0" workbookViewId="0">
      <pane xSplit="5" ySplit="3" topLeftCell="AP4" activePane="bottomRight" state="frozen"/>
      <selection pane="topRight"/>
      <selection pane="bottomLeft"/>
      <selection pane="bottomRight" activeCell="AQ15" sqref="AQ15"/>
    </sheetView>
  </sheetViews>
  <sheetFormatPr baseColWidth="10" defaultColWidth="8.88671875" defaultRowHeight="14.4" x14ac:dyDescent="0.3"/>
  <cols>
    <col min="1" max="1" width="22" customWidth="1"/>
    <col min="2" max="2" width="7" customWidth="1"/>
    <col min="3" max="3" width="9" customWidth="1"/>
    <col min="4" max="7" width="10" customWidth="1"/>
    <col min="8" max="8" width="12" customWidth="1"/>
    <col min="27" max="27" width="8.88671875" style="50"/>
  </cols>
  <sheetData>
    <row r="1" spans="1:44" ht="15.6" customHeight="1" x14ac:dyDescent="0.3">
      <c r="A1" s="58" t="s">
        <v>79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</row>
    <row r="2" spans="1:44" ht="13.95" customHeight="1" x14ac:dyDescent="0.3">
      <c r="A2" s="57" t="s">
        <v>27</v>
      </c>
      <c r="B2" s="55"/>
      <c r="C2" s="55"/>
      <c r="D2" s="55"/>
      <c r="E2" s="55"/>
      <c r="F2" s="55"/>
      <c r="G2" s="55"/>
      <c r="H2" s="55"/>
      <c r="I2" s="57" t="s">
        <v>127</v>
      </c>
      <c r="J2" s="55"/>
      <c r="K2" s="55"/>
      <c r="L2" s="55"/>
      <c r="M2" s="55"/>
      <c r="N2" s="57" t="s">
        <v>128</v>
      </c>
      <c r="O2" s="55"/>
      <c r="P2" s="55"/>
      <c r="Q2" s="55"/>
      <c r="R2" s="57" t="s">
        <v>129</v>
      </c>
      <c r="S2" s="55"/>
      <c r="T2" s="55"/>
      <c r="U2" s="55"/>
      <c r="V2" s="55"/>
      <c r="W2" s="55"/>
      <c r="X2" s="55"/>
      <c r="Y2" s="55"/>
      <c r="Z2" s="55"/>
      <c r="AA2" s="57" t="s">
        <v>130</v>
      </c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7" t="s">
        <v>131</v>
      </c>
      <c r="AN2" s="55"/>
      <c r="AO2" s="55"/>
      <c r="AP2" s="55"/>
      <c r="AQ2" s="57" t="s">
        <v>132</v>
      </c>
      <c r="AR2" s="55"/>
    </row>
    <row r="3" spans="1:44" ht="31.95" customHeight="1" x14ac:dyDescent="0.3">
      <c r="A3" s="12" t="s">
        <v>133</v>
      </c>
      <c r="B3" s="12" t="s">
        <v>134</v>
      </c>
      <c r="C3" s="12" t="s">
        <v>28</v>
      </c>
      <c r="D3" s="12" t="s">
        <v>135</v>
      </c>
      <c r="E3" s="12" t="s">
        <v>136</v>
      </c>
      <c r="F3" s="12" t="s">
        <v>29</v>
      </c>
      <c r="G3" s="12" t="s">
        <v>30</v>
      </c>
      <c r="H3" s="12" t="s">
        <v>137</v>
      </c>
      <c r="I3" s="13" t="s">
        <v>31</v>
      </c>
      <c r="J3" s="13" t="s">
        <v>32</v>
      </c>
      <c r="K3" s="13" t="s">
        <v>33</v>
      </c>
      <c r="L3" s="13" t="s">
        <v>138</v>
      </c>
      <c r="M3" s="13" t="s">
        <v>6</v>
      </c>
      <c r="N3" s="14" t="s">
        <v>139</v>
      </c>
      <c r="O3" s="14" t="s">
        <v>140</v>
      </c>
      <c r="P3" s="14" t="s">
        <v>3</v>
      </c>
      <c r="Q3" s="14" t="s">
        <v>34</v>
      </c>
      <c r="R3" s="15" t="s">
        <v>35</v>
      </c>
      <c r="S3" s="15" t="s">
        <v>36</v>
      </c>
      <c r="T3" s="15" t="s">
        <v>4</v>
      </c>
      <c r="U3" s="15" t="s">
        <v>37</v>
      </c>
      <c r="V3" s="15" t="s">
        <v>38</v>
      </c>
      <c r="W3" s="15" t="s">
        <v>141</v>
      </c>
      <c r="X3" s="15" t="s">
        <v>5</v>
      </c>
      <c r="Y3" s="15" t="s">
        <v>39</v>
      </c>
      <c r="Z3" s="15" t="s">
        <v>142</v>
      </c>
      <c r="AA3" s="49" t="s">
        <v>40</v>
      </c>
      <c r="AB3" s="16" t="s">
        <v>143</v>
      </c>
      <c r="AC3" s="16" t="s">
        <v>41</v>
      </c>
      <c r="AD3" s="16" t="s">
        <v>42</v>
      </c>
      <c r="AE3" s="16" t="s">
        <v>43</v>
      </c>
      <c r="AF3" s="16" t="s">
        <v>44</v>
      </c>
      <c r="AG3" s="16" t="s">
        <v>45</v>
      </c>
      <c r="AH3" s="16" t="s">
        <v>46</v>
      </c>
      <c r="AI3" s="16" t="s">
        <v>47</v>
      </c>
      <c r="AJ3" s="16" t="s">
        <v>48</v>
      </c>
      <c r="AK3" s="16" t="s">
        <v>49</v>
      </c>
      <c r="AL3" s="16" t="s">
        <v>50</v>
      </c>
      <c r="AM3" s="17" t="s">
        <v>51</v>
      </c>
      <c r="AN3" s="17" t="s">
        <v>144</v>
      </c>
      <c r="AO3" s="17" t="s">
        <v>145</v>
      </c>
      <c r="AP3" s="17" t="s">
        <v>146</v>
      </c>
      <c r="AQ3" s="18" t="s">
        <v>52</v>
      </c>
      <c r="AR3" s="18" t="s">
        <v>2</v>
      </c>
    </row>
    <row r="4" spans="1:44" ht="18" customHeight="1" x14ac:dyDescent="0.3">
      <c r="A4" s="59" t="s">
        <v>203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</row>
    <row r="5" spans="1:44" x14ac:dyDescent="0.3">
      <c r="A5" s="19" t="s">
        <v>148</v>
      </c>
      <c r="B5" s="19">
        <v>1</v>
      </c>
      <c r="C5" s="19" t="s">
        <v>53</v>
      </c>
      <c r="D5" s="19">
        <v>3</v>
      </c>
      <c r="E5" s="19">
        <v>5</v>
      </c>
      <c r="F5" s="19"/>
      <c r="G5" s="19">
        <v>100</v>
      </c>
      <c r="H5" s="19">
        <v>2</v>
      </c>
      <c r="I5" s="19">
        <v>1.9970000000000001</v>
      </c>
      <c r="J5" s="19">
        <v>139</v>
      </c>
      <c r="K5" s="19">
        <f t="shared" ref="K5:K15" si="0">IF(COUNT(J5,I5)=0,"",IFERROR(J5/1000/I5,""))</f>
        <v>6.9604406609914876E-2</v>
      </c>
      <c r="L5" s="19">
        <v>0.16</v>
      </c>
      <c r="M5" s="19">
        <f t="shared" ref="M5:M15" si="1">IF(COUNT(H5,L5)=0,"",IFERROR(H5*L5,""))</f>
        <v>0.32</v>
      </c>
      <c r="N5" s="19">
        <v>3.55</v>
      </c>
      <c r="O5" s="19">
        <v>1.24</v>
      </c>
      <c r="P5" s="19">
        <v>0.50700000000000001</v>
      </c>
      <c r="Q5" s="19">
        <f t="shared" ref="Q5:Q15" si="2">IF(COUNT(O5,P5)=0,"",IFERROR(O5*1000/P5*1000,""))</f>
        <v>2445759.3688362916</v>
      </c>
      <c r="R5" s="19">
        <v>0.56000000000000005</v>
      </c>
      <c r="S5" s="19">
        <f t="shared" ref="S5:S15" si="3">IF(COUNT(O5,P5)=0,"",IFERROR(O5*P5,""))</f>
        <v>0.62868000000000002</v>
      </c>
      <c r="T5" s="19">
        <v>66.900000000000006</v>
      </c>
      <c r="U5" s="19">
        <f t="shared" ref="U5:U15" si="4">IF(COUNT(T5)=0,"",IFERROR(COS(T5/180*PI()),""))</f>
        <v>0.39233711660356135</v>
      </c>
      <c r="V5" s="19">
        <f t="shared" ref="V5:V15" si="5">IF(COUNT(S5,T5)=0,"",IFERROR(S5*COS(T5/360*2*3.14),""))</f>
        <v>0.24699675620979272</v>
      </c>
      <c r="W5" s="19">
        <f t="shared" ref="W5:W15" si="6">IF(COUNT(V5,M5)=0,"",IFERROR(1-V5/M5,""))</f>
        <v>0.22813513684439779</v>
      </c>
      <c r="X5" s="19"/>
      <c r="Y5" s="19"/>
      <c r="Z5" s="19" t="str">
        <f t="shared" ref="Z5:Z15" si="7">IFERROR(IF(OR(V5="",X5="",X5=0),"",(V5-X5)/X5*100),"")</f>
        <v/>
      </c>
      <c r="AA5" s="48">
        <f t="shared" ref="AA5:AA15" si="8">IF(COUNT(AD5,AE5,AF5,AG5,AH5,AI5,AJ5,AK5,AL5,AC5)=0,"",IFERROR(SQRT(AD5^2+AE5^2+AF5^2+AG5^2+AH5^2+AI5^2+AJ5^2+AK5^2+AL5^2)/AC5,""))</f>
        <v>0.13453636291220758</v>
      </c>
      <c r="AB5" s="19" t="s">
        <v>168</v>
      </c>
      <c r="AC5" s="19">
        <v>1202</v>
      </c>
      <c r="AD5" s="19">
        <v>115</v>
      </c>
      <c r="AE5" s="19">
        <v>111</v>
      </c>
      <c r="AF5" s="19">
        <v>16</v>
      </c>
      <c r="AG5" s="19">
        <v>13</v>
      </c>
      <c r="AH5" s="19">
        <v>12</v>
      </c>
      <c r="AI5" s="19">
        <v>6</v>
      </c>
      <c r="AJ5" s="19"/>
      <c r="AK5" s="19"/>
      <c r="AL5" s="19"/>
      <c r="AM5" s="19">
        <v>25</v>
      </c>
      <c r="AN5" s="19" t="s">
        <v>55</v>
      </c>
      <c r="AO5" s="19">
        <v>0</v>
      </c>
      <c r="AP5" s="19"/>
      <c r="AQ5" s="19"/>
      <c r="AR5" s="19"/>
    </row>
    <row r="6" spans="1:44" x14ac:dyDescent="0.3">
      <c r="A6" s="19" t="s">
        <v>148</v>
      </c>
      <c r="B6" s="19">
        <v>2</v>
      </c>
      <c r="C6" s="19" t="s">
        <v>53</v>
      </c>
      <c r="D6" s="19">
        <v>3</v>
      </c>
      <c r="E6" s="19">
        <v>5</v>
      </c>
      <c r="F6" s="19"/>
      <c r="G6" s="19">
        <v>90</v>
      </c>
      <c r="H6" s="19">
        <v>2</v>
      </c>
      <c r="I6" s="19">
        <v>1.9975000000000001</v>
      </c>
      <c r="J6" s="19">
        <v>119</v>
      </c>
      <c r="K6" s="19">
        <f t="shared" si="0"/>
        <v>5.9574468085106379E-2</v>
      </c>
      <c r="L6" s="19">
        <v>0.14000000000000001</v>
      </c>
      <c r="M6" s="19">
        <f t="shared" si="1"/>
        <v>0.28000000000000003</v>
      </c>
      <c r="N6" s="19">
        <v>3.43</v>
      </c>
      <c r="O6" s="19">
        <v>1.23</v>
      </c>
      <c r="P6" s="19">
        <v>0.47499999999999998</v>
      </c>
      <c r="Q6" s="19">
        <f t="shared" si="2"/>
        <v>2589473.6842105263</v>
      </c>
      <c r="R6" s="19">
        <v>0.501</v>
      </c>
      <c r="S6" s="19">
        <f t="shared" si="3"/>
        <v>0.58424999999999994</v>
      </c>
      <c r="T6" s="19">
        <v>65.900000000000006</v>
      </c>
      <c r="U6" s="19">
        <f t="shared" si="4"/>
        <v>0.40833046038138476</v>
      </c>
      <c r="V6" s="19">
        <f t="shared" si="5"/>
        <v>0.23887800545433713</v>
      </c>
      <c r="W6" s="19">
        <f t="shared" si="6"/>
        <v>0.14686426623451032</v>
      </c>
      <c r="X6" s="19"/>
      <c r="Y6" s="19"/>
      <c r="Z6" s="19" t="str">
        <f t="shared" si="7"/>
        <v/>
      </c>
      <c r="AA6" s="48">
        <f t="shared" si="8"/>
        <v>0.13443711203778075</v>
      </c>
      <c r="AB6" s="19" t="s">
        <v>168</v>
      </c>
      <c r="AC6" s="19">
        <v>1194</v>
      </c>
      <c r="AD6" s="19">
        <v>114</v>
      </c>
      <c r="AE6" s="19">
        <v>112</v>
      </c>
      <c r="AF6" s="19">
        <v>9</v>
      </c>
      <c r="AG6" s="19">
        <v>9</v>
      </c>
      <c r="AH6" s="19">
        <v>8</v>
      </c>
      <c r="AI6" s="19"/>
      <c r="AJ6" s="19"/>
      <c r="AK6" s="19"/>
      <c r="AL6" s="19"/>
      <c r="AM6" s="19">
        <v>25</v>
      </c>
      <c r="AN6" s="19" t="s">
        <v>55</v>
      </c>
      <c r="AO6" s="19">
        <v>0</v>
      </c>
      <c r="AP6" s="19"/>
      <c r="AQ6" s="19"/>
      <c r="AR6" s="19"/>
    </row>
    <row r="7" spans="1:44" x14ac:dyDescent="0.3">
      <c r="A7" s="19" t="s">
        <v>148</v>
      </c>
      <c r="B7" s="19">
        <v>3</v>
      </c>
      <c r="C7" s="19" t="s">
        <v>53</v>
      </c>
      <c r="D7" s="19">
        <v>3</v>
      </c>
      <c r="E7" s="19">
        <v>5</v>
      </c>
      <c r="F7" s="19"/>
      <c r="G7" s="19">
        <v>80</v>
      </c>
      <c r="H7" s="19">
        <v>2</v>
      </c>
      <c r="I7" s="19">
        <v>1.998</v>
      </c>
      <c r="J7" s="19">
        <v>91</v>
      </c>
      <c r="K7" s="19">
        <f t="shared" si="0"/>
        <v>4.5545545545545546E-2</v>
      </c>
      <c r="L7" s="19">
        <v>0.12</v>
      </c>
      <c r="M7" s="19">
        <f t="shared" si="1"/>
        <v>0.24</v>
      </c>
      <c r="N7" s="19">
        <v>3.43</v>
      </c>
      <c r="O7" s="19">
        <v>1.22</v>
      </c>
      <c r="P7" s="19">
        <v>0.43</v>
      </c>
      <c r="Q7" s="19">
        <f t="shared" si="2"/>
        <v>2837209.3023255817</v>
      </c>
      <c r="R7" s="19">
        <v>0.47599999999999998</v>
      </c>
      <c r="S7" s="19">
        <f t="shared" si="3"/>
        <v>0.52459999999999996</v>
      </c>
      <c r="T7" s="19">
        <v>64.400000000000006</v>
      </c>
      <c r="U7" s="19">
        <f t="shared" si="4"/>
        <v>0.43208574880198231</v>
      </c>
      <c r="V7" s="19">
        <f t="shared" si="5"/>
        <v>0.22694172775225316</v>
      </c>
      <c r="W7" s="19">
        <f t="shared" si="6"/>
        <v>5.4409467698945169E-2</v>
      </c>
      <c r="X7" s="19"/>
      <c r="Y7" s="19"/>
      <c r="Z7" s="19" t="str">
        <f t="shared" si="7"/>
        <v/>
      </c>
      <c r="AA7" s="48">
        <f t="shared" si="8"/>
        <v>0.12130196279150954</v>
      </c>
      <c r="AB7" s="19" t="s">
        <v>168</v>
      </c>
      <c r="AC7" s="19">
        <v>1185</v>
      </c>
      <c r="AD7" s="19">
        <v>113</v>
      </c>
      <c r="AE7" s="19">
        <v>88</v>
      </c>
      <c r="AF7" s="19">
        <v>8</v>
      </c>
      <c r="AG7" s="19">
        <v>7</v>
      </c>
      <c r="AH7" s="19">
        <v>6</v>
      </c>
      <c r="AI7" s="19"/>
      <c r="AJ7" s="19"/>
      <c r="AK7" s="19"/>
      <c r="AL7" s="19"/>
      <c r="AM7" s="19">
        <v>25</v>
      </c>
      <c r="AN7" s="19" t="s">
        <v>55</v>
      </c>
      <c r="AO7" s="19">
        <v>0</v>
      </c>
      <c r="AP7" s="19"/>
      <c r="AQ7" s="19"/>
      <c r="AR7" s="19"/>
    </row>
    <row r="8" spans="1:44" x14ac:dyDescent="0.3">
      <c r="A8" s="19" t="s">
        <v>148</v>
      </c>
      <c r="B8" s="19">
        <v>4</v>
      </c>
      <c r="C8" s="19" t="s">
        <v>53</v>
      </c>
      <c r="D8" s="19">
        <v>3</v>
      </c>
      <c r="E8" s="19">
        <v>5</v>
      </c>
      <c r="F8" s="19"/>
      <c r="G8" s="19">
        <v>70</v>
      </c>
      <c r="H8" s="19">
        <v>2</v>
      </c>
      <c r="I8" s="19">
        <v>1.9976</v>
      </c>
      <c r="J8" s="19">
        <v>79</v>
      </c>
      <c r="K8" s="19">
        <f t="shared" si="0"/>
        <v>3.9547456948338007E-2</v>
      </c>
      <c r="L8" s="19">
        <v>0.12</v>
      </c>
      <c r="M8" s="19">
        <f t="shared" si="1"/>
        <v>0.24</v>
      </c>
      <c r="N8" s="19">
        <v>3.36</v>
      </c>
      <c r="O8" s="19">
        <v>1.2010000000000001</v>
      </c>
      <c r="P8" s="19">
        <v>0.39500000000000002</v>
      </c>
      <c r="Q8" s="19">
        <f t="shared" si="2"/>
        <v>3040506.3291139239</v>
      </c>
      <c r="R8" s="19">
        <v>0.433</v>
      </c>
      <c r="S8" s="19">
        <f t="shared" si="3"/>
        <v>0.47439500000000007</v>
      </c>
      <c r="T8" s="19">
        <v>62.9</v>
      </c>
      <c r="U8" s="19">
        <f t="shared" si="4"/>
        <v>0.45554490723351548</v>
      </c>
      <c r="V8" s="19">
        <f t="shared" si="5"/>
        <v>0.21634322825443086</v>
      </c>
      <c r="W8" s="19">
        <f t="shared" si="6"/>
        <v>9.8569882273204734E-2</v>
      </c>
      <c r="X8" s="19"/>
      <c r="Y8" s="19"/>
      <c r="Z8" s="19" t="str">
        <f t="shared" si="7"/>
        <v/>
      </c>
      <c r="AA8" s="48">
        <f t="shared" si="8"/>
        <v>0.10989946578045898</v>
      </c>
      <c r="AB8" s="19" t="s">
        <v>168</v>
      </c>
      <c r="AC8" s="19">
        <v>1172</v>
      </c>
      <c r="AD8" s="19">
        <v>112</v>
      </c>
      <c r="AE8" s="19">
        <v>60</v>
      </c>
      <c r="AF8" s="19">
        <v>19</v>
      </c>
      <c r="AG8" s="19">
        <v>7</v>
      </c>
      <c r="AH8" s="19">
        <v>6</v>
      </c>
      <c r="AI8" s="19"/>
      <c r="AJ8" s="19"/>
      <c r="AK8" s="19"/>
      <c r="AL8" s="19"/>
      <c r="AM8" s="19">
        <v>24</v>
      </c>
      <c r="AN8" s="19" t="s">
        <v>55</v>
      </c>
      <c r="AO8" s="19">
        <v>0</v>
      </c>
      <c r="AP8" s="19"/>
      <c r="AQ8" s="19"/>
      <c r="AR8" s="19"/>
    </row>
    <row r="9" spans="1:44" x14ac:dyDescent="0.3">
      <c r="A9" s="19" t="s">
        <v>148</v>
      </c>
      <c r="B9" s="19">
        <v>5</v>
      </c>
      <c r="C9" s="19" t="s">
        <v>53</v>
      </c>
      <c r="D9" s="19">
        <v>3</v>
      </c>
      <c r="E9" s="19">
        <v>5</v>
      </c>
      <c r="F9" s="19"/>
      <c r="G9" s="19">
        <v>60</v>
      </c>
      <c r="H9" s="19">
        <v>2</v>
      </c>
      <c r="I9" s="19">
        <v>1.9981</v>
      </c>
      <c r="J9" s="19">
        <v>63</v>
      </c>
      <c r="K9" s="19">
        <f t="shared" si="0"/>
        <v>3.1529953455782994E-2</v>
      </c>
      <c r="L9" s="19">
        <v>0.11</v>
      </c>
      <c r="M9" s="19">
        <f t="shared" si="1"/>
        <v>0.22</v>
      </c>
      <c r="N9" s="19">
        <v>3.28</v>
      </c>
      <c r="O9" s="19">
        <v>1.1839999999999999</v>
      </c>
      <c r="P9" s="19">
        <v>0.36399999999999999</v>
      </c>
      <c r="Q9" s="19">
        <f t="shared" si="2"/>
        <v>3252747.2527472526</v>
      </c>
      <c r="R9" s="19">
        <v>0.373</v>
      </c>
      <c r="S9" s="19">
        <f t="shared" si="3"/>
        <v>0.43097599999999997</v>
      </c>
      <c r="T9" s="19">
        <v>61.2</v>
      </c>
      <c r="U9" s="19">
        <f t="shared" si="4"/>
        <v>0.48175367410171516</v>
      </c>
      <c r="V9" s="19">
        <f t="shared" si="5"/>
        <v>0.20782874859851097</v>
      </c>
      <c r="W9" s="19">
        <f t="shared" si="6"/>
        <v>5.5323870006768305E-2</v>
      </c>
      <c r="X9" s="19"/>
      <c r="Y9" s="19"/>
      <c r="Z9" s="19" t="str">
        <f t="shared" si="7"/>
        <v/>
      </c>
      <c r="AA9" s="48">
        <f t="shared" si="8"/>
        <v>0.10503514783016818</v>
      </c>
      <c r="AB9" s="19" t="s">
        <v>168</v>
      </c>
      <c r="AC9" s="19">
        <v>1154</v>
      </c>
      <c r="AD9" s="19">
        <v>112</v>
      </c>
      <c r="AE9" s="19">
        <v>40</v>
      </c>
      <c r="AF9" s="19">
        <v>22</v>
      </c>
      <c r="AG9" s="19">
        <v>8</v>
      </c>
      <c r="AH9" s="19"/>
      <c r="AI9" s="19"/>
      <c r="AJ9" s="19"/>
      <c r="AK9" s="19"/>
      <c r="AL9" s="19"/>
      <c r="AM9" s="19">
        <v>24</v>
      </c>
      <c r="AN9" s="19" t="s">
        <v>55</v>
      </c>
      <c r="AO9" s="19">
        <v>0</v>
      </c>
      <c r="AP9" s="19"/>
      <c r="AQ9" s="19"/>
      <c r="AR9" s="19"/>
    </row>
    <row r="10" spans="1:44" x14ac:dyDescent="0.3">
      <c r="A10" s="19" t="s">
        <v>148</v>
      </c>
      <c r="B10" s="19">
        <v>6</v>
      </c>
      <c r="C10" s="19" t="s">
        <v>53</v>
      </c>
      <c r="D10" s="19">
        <v>3</v>
      </c>
      <c r="E10" s="19">
        <v>5</v>
      </c>
      <c r="F10" s="19"/>
      <c r="G10" s="19">
        <v>50</v>
      </c>
      <c r="H10" s="19">
        <v>2</v>
      </c>
      <c r="I10" s="19">
        <v>1.9982</v>
      </c>
      <c r="J10" s="19">
        <v>63</v>
      </c>
      <c r="K10" s="19">
        <f t="shared" si="0"/>
        <v>3.1528375537984189E-2</v>
      </c>
      <c r="L10" s="19">
        <v>0.1</v>
      </c>
      <c r="M10" s="19">
        <f t="shared" si="1"/>
        <v>0.2</v>
      </c>
      <c r="N10" s="19">
        <v>3.2</v>
      </c>
      <c r="O10" s="19">
        <v>1.165</v>
      </c>
      <c r="P10" s="19">
        <v>0.34100000000000003</v>
      </c>
      <c r="Q10" s="19">
        <f t="shared" si="2"/>
        <v>3416422.2873900291</v>
      </c>
      <c r="R10" s="19">
        <v>0.32</v>
      </c>
      <c r="S10" s="19">
        <f t="shared" si="3"/>
        <v>0.39726500000000003</v>
      </c>
      <c r="T10" s="19">
        <v>59.5</v>
      </c>
      <c r="U10" s="19">
        <f t="shared" si="4"/>
        <v>0.5075383629607042</v>
      </c>
      <c r="V10" s="19">
        <f t="shared" si="5"/>
        <v>0.20180740466294539</v>
      </c>
      <c r="W10" s="19">
        <f t="shared" si="6"/>
        <v>-9.0370233147267776E-3</v>
      </c>
      <c r="X10" s="19"/>
      <c r="Y10" s="19"/>
      <c r="Z10" s="19" t="str">
        <f t="shared" si="7"/>
        <v/>
      </c>
      <c r="AA10" s="48">
        <f t="shared" si="8"/>
        <v>0.10599798410900571</v>
      </c>
      <c r="AB10" s="19" t="s">
        <v>168</v>
      </c>
      <c r="AC10" s="19">
        <v>1137</v>
      </c>
      <c r="AD10" s="19">
        <v>111</v>
      </c>
      <c r="AE10" s="19">
        <v>43</v>
      </c>
      <c r="AF10" s="19">
        <v>15</v>
      </c>
      <c r="AG10" s="19">
        <v>9</v>
      </c>
      <c r="AH10" s="19">
        <v>7</v>
      </c>
      <c r="AI10" s="19"/>
      <c r="AJ10" s="19"/>
      <c r="AK10" s="19"/>
      <c r="AL10" s="19"/>
      <c r="AM10" s="19">
        <v>24</v>
      </c>
      <c r="AN10" s="19" t="s">
        <v>55</v>
      </c>
      <c r="AO10" s="19">
        <v>0</v>
      </c>
      <c r="AP10" s="19"/>
      <c r="AQ10" s="19"/>
      <c r="AR10" s="19"/>
    </row>
    <row r="11" spans="1:44" x14ac:dyDescent="0.3">
      <c r="A11" s="19" t="s">
        <v>148</v>
      </c>
      <c r="B11" s="19">
        <v>7</v>
      </c>
      <c r="C11" s="19" t="s">
        <v>53</v>
      </c>
      <c r="D11" s="19">
        <v>3</v>
      </c>
      <c r="E11" s="19">
        <v>5</v>
      </c>
      <c r="F11" s="19"/>
      <c r="G11" s="19">
        <v>40</v>
      </c>
      <c r="H11" s="19">
        <v>2</v>
      </c>
      <c r="I11" s="19">
        <v>1.998</v>
      </c>
      <c r="J11" s="19">
        <v>56</v>
      </c>
      <c r="K11" s="19">
        <f t="shared" si="0"/>
        <v>2.8028028028028028E-2</v>
      </c>
      <c r="L11" s="19">
        <v>0.09</v>
      </c>
      <c r="M11" s="19">
        <f t="shared" si="1"/>
        <v>0.18</v>
      </c>
      <c r="N11" s="19">
        <v>3.09</v>
      </c>
      <c r="O11" s="19">
        <v>1.1359999999999999</v>
      </c>
      <c r="P11" s="19">
        <v>0.32900000000000001</v>
      </c>
      <c r="Q11" s="19">
        <f t="shared" si="2"/>
        <v>3452887.537993921</v>
      </c>
      <c r="R11" s="19">
        <v>0.28599999999999998</v>
      </c>
      <c r="S11" s="19">
        <f t="shared" si="3"/>
        <v>0.37374399999999997</v>
      </c>
      <c r="T11" s="19">
        <v>59</v>
      </c>
      <c r="U11" s="19">
        <f t="shared" si="4"/>
        <v>0.51503807491005438</v>
      </c>
      <c r="V11" s="19">
        <f t="shared" si="5"/>
        <v>0.19265960422376049</v>
      </c>
      <c r="W11" s="19">
        <f t="shared" si="6"/>
        <v>-7.0331134576447241E-2</v>
      </c>
      <c r="X11" s="19"/>
      <c r="Y11" s="19"/>
      <c r="Z11" s="19" t="str">
        <f t="shared" si="7"/>
        <v/>
      </c>
      <c r="AA11" s="48">
        <f t="shared" si="8"/>
        <v>0.11198862759310788</v>
      </c>
      <c r="AB11" s="19" t="s">
        <v>168</v>
      </c>
      <c r="AC11" s="19">
        <v>1108</v>
      </c>
      <c r="AD11" s="19">
        <v>110</v>
      </c>
      <c r="AE11" s="19">
        <v>56</v>
      </c>
      <c r="AF11" s="19">
        <v>11</v>
      </c>
      <c r="AG11" s="19">
        <v>6.3</v>
      </c>
      <c r="AH11" s="19"/>
      <c r="AI11" s="19"/>
      <c r="AJ11" s="19"/>
      <c r="AK11" s="19"/>
      <c r="AL11" s="19"/>
      <c r="AM11" s="19">
        <v>24</v>
      </c>
      <c r="AN11" s="19" t="s">
        <v>55</v>
      </c>
      <c r="AO11" s="19">
        <v>0</v>
      </c>
      <c r="AP11" s="19"/>
      <c r="AQ11" s="19"/>
      <c r="AR11" s="19"/>
    </row>
    <row r="12" spans="1:44" x14ac:dyDescent="0.3">
      <c r="A12" s="19" t="s">
        <v>148</v>
      </c>
      <c r="B12" s="19">
        <v>8</v>
      </c>
      <c r="C12" s="19" t="s">
        <v>53</v>
      </c>
      <c r="D12" s="19">
        <v>3</v>
      </c>
      <c r="E12" s="19">
        <v>5</v>
      </c>
      <c r="F12" s="19"/>
      <c r="G12" s="19">
        <v>30</v>
      </c>
      <c r="H12" s="19">
        <v>2</v>
      </c>
      <c r="I12" s="19">
        <v>1.9984</v>
      </c>
      <c r="J12" s="19">
        <v>71</v>
      </c>
      <c r="K12" s="19">
        <f t="shared" si="0"/>
        <v>3.5528422738190547E-2</v>
      </c>
      <c r="L12" s="19">
        <v>0.09</v>
      </c>
      <c r="M12" s="19">
        <f t="shared" si="1"/>
        <v>0.18</v>
      </c>
      <c r="N12" s="19">
        <v>2.94</v>
      </c>
      <c r="O12" s="19">
        <v>1.089</v>
      </c>
      <c r="P12" s="19">
        <v>0.32100000000000001</v>
      </c>
      <c r="Q12" s="19">
        <f t="shared" si="2"/>
        <v>3392523.3644859814</v>
      </c>
      <c r="R12" s="19">
        <v>0.26700000000000002</v>
      </c>
      <c r="S12" s="19">
        <f t="shared" si="3"/>
        <v>0.34956900000000002</v>
      </c>
      <c r="T12" s="19">
        <v>59.7</v>
      </c>
      <c r="U12" s="19">
        <f t="shared" si="4"/>
        <v>0.50452762381501925</v>
      </c>
      <c r="V12" s="19">
        <f t="shared" si="5"/>
        <v>0.17652662078305323</v>
      </c>
      <c r="W12" s="19">
        <f t="shared" si="6"/>
        <v>1.929655120525986E-2</v>
      </c>
      <c r="X12" s="19"/>
      <c r="Y12" s="19"/>
      <c r="Z12" s="19" t="str">
        <f t="shared" si="7"/>
        <v/>
      </c>
      <c r="AA12" s="48">
        <f t="shared" si="8"/>
        <v>0.11957337834496759</v>
      </c>
      <c r="AB12" s="19" t="s">
        <v>168</v>
      </c>
      <c r="AC12" s="19">
        <v>1060</v>
      </c>
      <c r="AD12" s="19">
        <v>110</v>
      </c>
      <c r="AE12" s="19">
        <v>61</v>
      </c>
      <c r="AF12" s="19">
        <v>12</v>
      </c>
      <c r="AG12" s="19">
        <v>10</v>
      </c>
      <c r="AH12" s="19"/>
      <c r="AI12" s="19"/>
      <c r="AJ12" s="19"/>
      <c r="AK12" s="19"/>
      <c r="AL12" s="19"/>
      <c r="AM12" s="19">
        <v>24</v>
      </c>
      <c r="AN12" s="19" t="s">
        <v>55</v>
      </c>
      <c r="AO12" s="19">
        <v>0</v>
      </c>
      <c r="AP12" s="19"/>
      <c r="AQ12" s="19"/>
      <c r="AR12" s="19"/>
    </row>
    <row r="13" spans="1:44" x14ac:dyDescent="0.3">
      <c r="A13" s="19" t="s">
        <v>148</v>
      </c>
      <c r="B13" s="19">
        <v>9</v>
      </c>
      <c r="C13" s="19" t="s">
        <v>53</v>
      </c>
      <c r="D13" s="19">
        <v>3</v>
      </c>
      <c r="E13" s="19">
        <v>5</v>
      </c>
      <c r="F13" s="19"/>
      <c r="G13" s="19">
        <v>20</v>
      </c>
      <c r="H13" s="19">
        <v>2</v>
      </c>
      <c r="I13" s="19">
        <v>1.9983</v>
      </c>
      <c r="J13" s="19">
        <v>87</v>
      </c>
      <c r="K13" s="19">
        <f t="shared" si="0"/>
        <v>4.3537006455487165E-2</v>
      </c>
      <c r="L13" s="19">
        <v>0.09</v>
      </c>
      <c r="M13" s="19">
        <f t="shared" si="1"/>
        <v>0.18</v>
      </c>
      <c r="N13" s="19">
        <v>2.585</v>
      </c>
      <c r="O13" s="19">
        <v>0.93400000000000005</v>
      </c>
      <c r="P13" s="19">
        <v>0.29099999999999998</v>
      </c>
      <c r="Q13" s="19">
        <f t="shared" si="2"/>
        <v>3209621.9931271481</v>
      </c>
      <c r="R13" s="19">
        <v>0.216</v>
      </c>
      <c r="S13" s="19">
        <f t="shared" si="3"/>
        <v>0.27179399999999998</v>
      </c>
      <c r="T13" s="19">
        <v>62.56</v>
      </c>
      <c r="U13" s="19">
        <f t="shared" si="4"/>
        <v>0.46081948465043093</v>
      </c>
      <c r="V13" s="19">
        <f t="shared" si="5"/>
        <v>0.12538147319121215</v>
      </c>
      <c r="W13" s="19">
        <f t="shared" si="6"/>
        <v>0.3034362600488214</v>
      </c>
      <c r="X13" s="19"/>
      <c r="Y13" s="19"/>
      <c r="Z13" s="19" t="str">
        <f t="shared" si="7"/>
        <v/>
      </c>
      <c r="AA13" s="48">
        <f t="shared" si="8"/>
        <v>0.13871811234885648</v>
      </c>
      <c r="AB13" s="19" t="s">
        <v>168</v>
      </c>
      <c r="AC13" s="19">
        <v>907</v>
      </c>
      <c r="AD13" s="19">
        <v>110</v>
      </c>
      <c r="AE13" s="19">
        <v>56</v>
      </c>
      <c r="AF13" s="19">
        <v>19</v>
      </c>
      <c r="AG13" s="19">
        <v>13</v>
      </c>
      <c r="AH13" s="19">
        <v>8</v>
      </c>
      <c r="AI13" s="19"/>
      <c r="AJ13" s="19"/>
      <c r="AK13" s="19"/>
      <c r="AL13" s="19"/>
      <c r="AM13" s="19">
        <v>24</v>
      </c>
      <c r="AN13" s="19" t="s">
        <v>55</v>
      </c>
      <c r="AO13" s="19">
        <v>0</v>
      </c>
      <c r="AP13" s="19"/>
      <c r="AQ13" s="19"/>
      <c r="AR13" s="19"/>
    </row>
    <row r="14" spans="1:44" x14ac:dyDescent="0.3">
      <c r="A14" s="19" t="s">
        <v>148</v>
      </c>
      <c r="B14" s="19">
        <v>10</v>
      </c>
      <c r="C14" s="19" t="s">
        <v>53</v>
      </c>
      <c r="D14" s="19">
        <v>3</v>
      </c>
      <c r="E14" s="19">
        <v>5</v>
      </c>
      <c r="F14" s="19"/>
      <c r="G14" s="19">
        <v>10</v>
      </c>
      <c r="H14" s="19">
        <v>2</v>
      </c>
      <c r="I14" s="19">
        <v>1.9993000000000001</v>
      </c>
      <c r="J14" s="19">
        <v>91</v>
      </c>
      <c r="K14" s="19">
        <f t="shared" si="0"/>
        <v>4.551593057570149E-2</v>
      </c>
      <c r="L14" s="19">
        <v>0.08</v>
      </c>
      <c r="M14" s="19">
        <f t="shared" si="1"/>
        <v>0.16</v>
      </c>
      <c r="N14" s="19">
        <v>0.83699999999999997</v>
      </c>
      <c r="O14" s="19">
        <v>0.27800000000000002</v>
      </c>
      <c r="P14" s="19">
        <v>0.17399999999999999</v>
      </c>
      <c r="Q14" s="19">
        <f t="shared" si="2"/>
        <v>1597701.1494252875</v>
      </c>
      <c r="R14" s="19">
        <v>3.2000000000000001E-2</v>
      </c>
      <c r="S14" s="19">
        <f t="shared" si="3"/>
        <v>4.8371999999999998E-2</v>
      </c>
      <c r="T14" s="19">
        <v>79.400000000000006</v>
      </c>
      <c r="U14" s="19">
        <f t="shared" si="4"/>
        <v>0.18395135061272025</v>
      </c>
      <c r="V14" s="19">
        <f t="shared" si="5"/>
        <v>8.9314957521690486E-3</v>
      </c>
      <c r="W14" s="19">
        <f t="shared" si="6"/>
        <v>0.94417815154894347</v>
      </c>
      <c r="X14" s="19"/>
      <c r="Y14" s="19"/>
      <c r="Z14" s="19" t="str">
        <f t="shared" si="7"/>
        <v/>
      </c>
      <c r="AA14" s="48">
        <f t="shared" si="8"/>
        <v>0.16292086998461311</v>
      </c>
      <c r="AB14" s="19" t="s">
        <v>167</v>
      </c>
      <c r="AC14" s="19">
        <v>270</v>
      </c>
      <c r="AD14" s="19">
        <v>30</v>
      </c>
      <c r="AE14" s="19">
        <v>25</v>
      </c>
      <c r="AF14" s="19">
        <v>15</v>
      </c>
      <c r="AG14" s="19">
        <v>10</v>
      </c>
      <c r="AH14" s="19">
        <v>7</v>
      </c>
      <c r="AI14" s="19">
        <v>6</v>
      </c>
      <c r="AJ14" s="19"/>
      <c r="AK14" s="19"/>
      <c r="AL14" s="19"/>
      <c r="AM14" s="19">
        <v>24</v>
      </c>
      <c r="AN14" s="19" t="s">
        <v>55</v>
      </c>
      <c r="AO14" s="19">
        <v>0</v>
      </c>
      <c r="AP14" s="19"/>
      <c r="AQ14" s="19"/>
      <c r="AR14" s="19"/>
    </row>
    <row r="15" spans="1:44" x14ac:dyDescent="0.3">
      <c r="A15" s="19" t="s">
        <v>148</v>
      </c>
      <c r="B15" s="19">
        <v>11</v>
      </c>
      <c r="C15" s="19" t="s">
        <v>53</v>
      </c>
      <c r="D15" s="19">
        <v>3</v>
      </c>
      <c r="E15" s="19">
        <v>5</v>
      </c>
      <c r="F15" s="19"/>
      <c r="G15" s="19">
        <v>5</v>
      </c>
      <c r="H15" s="19">
        <v>2</v>
      </c>
      <c r="I15" s="19">
        <v>1.9991000000000001</v>
      </c>
      <c r="J15" s="19">
        <v>87</v>
      </c>
      <c r="K15" s="19">
        <f t="shared" si="0"/>
        <v>4.3519583812715715E-2</v>
      </c>
      <c r="L15" s="19">
        <v>7.0000000000000007E-2</v>
      </c>
      <c r="M15" s="19">
        <f t="shared" si="1"/>
        <v>0.14000000000000001</v>
      </c>
      <c r="N15" s="19">
        <v>0.32900000000000001</v>
      </c>
      <c r="O15" s="19">
        <v>0.107</v>
      </c>
      <c r="P15" s="19">
        <v>0.113</v>
      </c>
      <c r="Q15" s="19">
        <f t="shared" si="2"/>
        <v>946902.65486725664</v>
      </c>
      <c r="R15" s="19">
        <v>6.0000000000000001E-3</v>
      </c>
      <c r="S15" s="19">
        <f t="shared" si="3"/>
        <v>1.2090999999999999E-2</v>
      </c>
      <c r="T15" s="19">
        <v>86.5</v>
      </c>
      <c r="U15" s="19">
        <f t="shared" si="4"/>
        <v>6.1048539534856908E-2</v>
      </c>
      <c r="V15" s="19">
        <f t="shared" si="5"/>
        <v>7.4737436393528347E-4</v>
      </c>
      <c r="W15" s="19">
        <f t="shared" si="6"/>
        <v>0.99466161168617651</v>
      </c>
      <c r="X15" s="19"/>
      <c r="Y15" s="19"/>
      <c r="Z15" s="19" t="str">
        <f t="shared" si="7"/>
        <v/>
      </c>
      <c r="AA15" s="48">
        <f t="shared" si="8"/>
        <v>0.27867981183435087</v>
      </c>
      <c r="AB15" s="19" t="s">
        <v>167</v>
      </c>
      <c r="AC15" s="19">
        <v>102</v>
      </c>
      <c r="AD15" s="19">
        <v>24</v>
      </c>
      <c r="AE15" s="19">
        <v>14</v>
      </c>
      <c r="AF15" s="19">
        <v>6</v>
      </c>
      <c r="AG15" s="19"/>
      <c r="AH15" s="19"/>
      <c r="AI15" s="19"/>
      <c r="AJ15" s="19"/>
      <c r="AK15" s="19"/>
      <c r="AL15" s="19"/>
      <c r="AM15" s="19">
        <v>24</v>
      </c>
      <c r="AN15" s="19" t="s">
        <v>55</v>
      </c>
      <c r="AO15" s="19">
        <v>0</v>
      </c>
      <c r="AP15" s="19"/>
      <c r="AQ15" s="19" t="s">
        <v>80</v>
      </c>
      <c r="AR15" s="19"/>
    </row>
    <row r="16" spans="1:44" ht="18" customHeight="1" x14ac:dyDescent="0.3">
      <c r="A16" s="61" t="s">
        <v>204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</row>
    <row r="17" spans="1:44" x14ac:dyDescent="0.3">
      <c r="A17" s="19" t="s">
        <v>150</v>
      </c>
      <c r="B17" s="19">
        <v>1</v>
      </c>
      <c r="C17" s="19" t="s">
        <v>53</v>
      </c>
      <c r="D17" s="19">
        <v>3</v>
      </c>
      <c r="E17" s="19">
        <v>10</v>
      </c>
      <c r="F17" s="19"/>
      <c r="G17" s="19">
        <v>100</v>
      </c>
      <c r="H17" s="19">
        <v>4</v>
      </c>
      <c r="I17" s="19">
        <v>3.9963000000000002</v>
      </c>
      <c r="J17" s="19">
        <v>339</v>
      </c>
      <c r="K17" s="19">
        <f t="shared" ref="K17:K27" si="9">IF(COUNT(J17,I17)=0,"",IFERROR(J17/1000/I17,""))</f>
        <v>8.4828466331356503E-2</v>
      </c>
      <c r="L17" s="19">
        <v>1.1100000000000001</v>
      </c>
      <c r="M17" s="19">
        <f t="shared" ref="M17:M27" si="10">IF(COUNT(H17,L17)=0,"",IFERROR(H17*L17,""))</f>
        <v>4.4400000000000004</v>
      </c>
      <c r="N17" s="19">
        <v>3.78</v>
      </c>
      <c r="O17" s="19">
        <v>1.23</v>
      </c>
      <c r="P17" s="19">
        <v>1.86</v>
      </c>
      <c r="Q17" s="19">
        <f t="shared" ref="Q17:Q27" si="11">IF(COUNT(O17,P17)=0,"",IFERROR(O17*1000/P17*1000,""))</f>
        <v>661290.32258064509</v>
      </c>
      <c r="R17" s="19">
        <v>2.0099999999999998</v>
      </c>
      <c r="S17" s="19">
        <f t="shared" ref="S17:S27" si="12">IF(COUNT(O17,P17)=0,"",IFERROR(O17*P17,""))</f>
        <v>2.2878000000000003</v>
      </c>
      <c r="T17" s="19">
        <v>70.5</v>
      </c>
      <c r="U17" s="19">
        <f t="shared" ref="U17:U27" si="13">IF(COUNT(T17)=0,"",IFERROR(COS(T17/180*PI()),""))</f>
        <v>0.3338068592337709</v>
      </c>
      <c r="V17" s="19">
        <f t="shared" ref="V17:V27" si="14">IF(COUNT(S17,T17)=0,"",IFERROR(S17*COS(T17/360*2*3.14),""))</f>
        <v>0.76502843247354624</v>
      </c>
      <c r="W17" s="19">
        <f t="shared" ref="W17:W27" si="15">IF(COUNT(V17,M17)=0,"",IFERROR(1-V17/M17,""))</f>
        <v>0.82769629899244457</v>
      </c>
      <c r="X17" s="19"/>
      <c r="Y17" s="19"/>
      <c r="Z17" s="19" t="str">
        <f t="shared" ref="Z17:Z27" si="16">IFERROR(IF(OR(V17="",X17="",X17=0),"",(V17-X17)/X17*100),"")</f>
        <v/>
      </c>
      <c r="AA17" s="48">
        <f t="shared" ref="AA17:AA27" si="17">IF(COUNT(AD17,AE17,AF17,AG17,AH17,AI17,AJ17,AK17,AL17,AC17)=0,"",IFERROR(SQRT(AD17^2+AE17^2+AF17^2+AG17^2+AH17^2+AI17^2+AJ17^2+AK17^2+AL17^2)/AC17,""))</f>
        <v>0.11568300150315967</v>
      </c>
      <c r="AB17" s="19" t="s">
        <v>178</v>
      </c>
      <c r="AC17" s="19">
        <v>1226</v>
      </c>
      <c r="AD17" s="19">
        <v>110</v>
      </c>
      <c r="AE17" s="19">
        <v>78</v>
      </c>
      <c r="AF17" s="19">
        <v>35</v>
      </c>
      <c r="AG17" s="19">
        <v>18</v>
      </c>
      <c r="AH17" s="19">
        <v>13</v>
      </c>
      <c r="AI17" s="19">
        <v>10</v>
      </c>
      <c r="AJ17" s="19">
        <v>8</v>
      </c>
      <c r="AK17" s="19">
        <v>7</v>
      </c>
      <c r="AL17" s="19"/>
      <c r="AM17" s="19">
        <v>51</v>
      </c>
      <c r="AN17" s="19" t="s">
        <v>205</v>
      </c>
      <c r="AO17" s="19"/>
      <c r="AP17" s="19"/>
      <c r="AQ17" s="19"/>
      <c r="AR17" s="19"/>
    </row>
    <row r="18" spans="1:44" x14ac:dyDescent="0.3">
      <c r="A18" s="19" t="s">
        <v>150</v>
      </c>
      <c r="B18" s="19">
        <v>2</v>
      </c>
      <c r="C18" s="19" t="s">
        <v>53</v>
      </c>
      <c r="D18" s="19">
        <v>3</v>
      </c>
      <c r="E18" s="19">
        <v>10</v>
      </c>
      <c r="F18" s="19"/>
      <c r="G18" s="19">
        <v>90</v>
      </c>
      <c r="H18" s="19">
        <v>4</v>
      </c>
      <c r="I18" s="19">
        <v>4.0060000000000002</v>
      </c>
      <c r="J18" s="19">
        <v>327</v>
      </c>
      <c r="K18" s="19">
        <f t="shared" si="9"/>
        <v>8.1627558662006994E-2</v>
      </c>
      <c r="L18" s="19">
        <v>1.02</v>
      </c>
      <c r="M18" s="19">
        <f t="shared" si="10"/>
        <v>4.08</v>
      </c>
      <c r="N18" s="19">
        <v>3.59</v>
      </c>
      <c r="O18" s="19">
        <v>0.95</v>
      </c>
      <c r="P18" s="19">
        <v>1.7110000000000001</v>
      </c>
      <c r="Q18" s="19">
        <f t="shared" si="11"/>
        <v>555230.85914669791</v>
      </c>
      <c r="R18" s="19">
        <v>1.94</v>
      </c>
      <c r="S18" s="19">
        <f t="shared" si="12"/>
        <v>1.6254500000000001</v>
      </c>
      <c r="T18" s="19">
        <v>64.8</v>
      </c>
      <c r="U18" s="19">
        <f t="shared" si="13"/>
        <v>0.42577929156507266</v>
      </c>
      <c r="V18" s="19">
        <f t="shared" si="14"/>
        <v>0.69292609861733057</v>
      </c>
      <c r="W18" s="19">
        <f t="shared" si="15"/>
        <v>0.83016517190751704</v>
      </c>
      <c r="X18" s="19"/>
      <c r="Y18" s="19"/>
      <c r="Z18" s="19" t="str">
        <f t="shared" si="16"/>
        <v/>
      </c>
      <c r="AA18" s="48">
        <f t="shared" si="17"/>
        <v>0.1140554873930934</v>
      </c>
      <c r="AB18" s="19" t="s">
        <v>206</v>
      </c>
      <c r="AC18" s="19">
        <v>1171</v>
      </c>
      <c r="AD18" s="19">
        <v>112</v>
      </c>
      <c r="AE18" s="19">
        <v>68</v>
      </c>
      <c r="AF18" s="19">
        <v>21</v>
      </c>
      <c r="AG18" s="19">
        <v>12</v>
      </c>
      <c r="AH18" s="19">
        <v>7</v>
      </c>
      <c r="AI18" s="19">
        <v>6</v>
      </c>
      <c r="AJ18" s="19"/>
      <c r="AK18" s="19"/>
      <c r="AL18" s="19"/>
      <c r="AM18" s="19">
        <v>50</v>
      </c>
      <c r="AN18" s="19" t="s">
        <v>207</v>
      </c>
      <c r="AO18" s="19"/>
      <c r="AP18" s="19"/>
      <c r="AQ18" s="19"/>
      <c r="AR18" s="19"/>
    </row>
    <row r="19" spans="1:44" x14ac:dyDescent="0.3">
      <c r="A19" s="19" t="s">
        <v>150</v>
      </c>
      <c r="B19" s="19">
        <v>3</v>
      </c>
      <c r="C19" s="19" t="s">
        <v>53</v>
      </c>
      <c r="D19" s="19">
        <v>3</v>
      </c>
      <c r="E19" s="19">
        <v>10</v>
      </c>
      <c r="F19" s="19"/>
      <c r="G19" s="19">
        <v>80</v>
      </c>
      <c r="H19" s="19">
        <v>4</v>
      </c>
      <c r="I19" s="19">
        <v>4</v>
      </c>
      <c r="J19" s="19">
        <v>291</v>
      </c>
      <c r="K19" s="19">
        <f t="shared" si="9"/>
        <v>7.2749999999999995E-2</v>
      </c>
      <c r="L19" s="19">
        <v>0.56999999999999995</v>
      </c>
      <c r="M19" s="19">
        <f t="shared" si="10"/>
        <v>2.2799999999999998</v>
      </c>
      <c r="N19" s="19">
        <v>2.2799999999999998</v>
      </c>
      <c r="O19" s="19">
        <v>0.78400000000000003</v>
      </c>
      <c r="P19" s="19">
        <v>1.042</v>
      </c>
      <c r="Q19" s="19">
        <f t="shared" si="11"/>
        <v>752399.23224568134</v>
      </c>
      <c r="R19" s="19">
        <v>0.84699999999999998</v>
      </c>
      <c r="S19" s="19">
        <f t="shared" si="12"/>
        <v>0.8169280000000001</v>
      </c>
      <c r="T19" s="19">
        <v>58</v>
      </c>
      <c r="U19" s="19">
        <f t="shared" si="13"/>
        <v>0.5299192642332049</v>
      </c>
      <c r="V19" s="19">
        <f t="shared" si="14"/>
        <v>0.43326136162079559</v>
      </c>
      <c r="W19" s="19">
        <f t="shared" si="15"/>
        <v>0.80997308700842297</v>
      </c>
      <c r="X19" s="19"/>
      <c r="Y19" s="19"/>
      <c r="Z19" s="19" t="str">
        <f t="shared" si="16"/>
        <v/>
      </c>
      <c r="AA19" s="48">
        <f t="shared" si="17"/>
        <v>0.14732526759516404</v>
      </c>
      <c r="AB19" s="19" t="s">
        <v>168</v>
      </c>
      <c r="AC19" s="19">
        <v>785</v>
      </c>
      <c r="AD19" s="19">
        <v>109</v>
      </c>
      <c r="AE19" s="19">
        <v>36</v>
      </c>
      <c r="AF19" s="19">
        <v>10</v>
      </c>
      <c r="AG19" s="19">
        <v>7</v>
      </c>
      <c r="AH19" s="19">
        <v>7</v>
      </c>
      <c r="AI19" s="19"/>
      <c r="AJ19" s="19"/>
      <c r="AK19" s="19"/>
      <c r="AL19" s="19"/>
      <c r="AM19" s="19">
        <v>42</v>
      </c>
      <c r="AN19" s="19" t="s">
        <v>207</v>
      </c>
      <c r="AO19" s="19"/>
      <c r="AP19" s="19"/>
      <c r="AQ19" s="19"/>
      <c r="AR19" s="19"/>
    </row>
    <row r="20" spans="1:44" x14ac:dyDescent="0.3">
      <c r="A20" s="19" t="s">
        <v>150</v>
      </c>
      <c r="B20" s="19">
        <v>4</v>
      </c>
      <c r="C20" s="19" t="s">
        <v>53</v>
      </c>
      <c r="D20" s="19">
        <v>3</v>
      </c>
      <c r="E20" s="19">
        <v>10</v>
      </c>
      <c r="F20" s="19"/>
      <c r="G20" s="19">
        <v>70</v>
      </c>
      <c r="H20" s="19">
        <v>4</v>
      </c>
      <c r="I20" s="19">
        <v>3.9946000000000002</v>
      </c>
      <c r="J20" s="19">
        <v>251</v>
      </c>
      <c r="K20" s="19">
        <f t="shared" si="9"/>
        <v>6.2834827016472236E-2</v>
      </c>
      <c r="L20" s="19">
        <v>0.42</v>
      </c>
      <c r="M20" s="19">
        <f t="shared" si="10"/>
        <v>1.68</v>
      </c>
      <c r="N20" s="19">
        <v>1.67</v>
      </c>
      <c r="O20" s="19">
        <v>0.60599999999999998</v>
      </c>
      <c r="P20" s="19">
        <v>0.81200000000000006</v>
      </c>
      <c r="Q20" s="19">
        <f t="shared" si="11"/>
        <v>746305.41871921171</v>
      </c>
      <c r="R20" s="19">
        <v>0.47599999999999998</v>
      </c>
      <c r="S20" s="19">
        <f t="shared" si="12"/>
        <v>0.49207200000000001</v>
      </c>
      <c r="T20" s="19">
        <v>58.5</v>
      </c>
      <c r="U20" s="19">
        <f t="shared" si="13"/>
        <v>0.52249856471594891</v>
      </c>
      <c r="V20" s="19">
        <f t="shared" si="14"/>
        <v>0.25732404893203309</v>
      </c>
      <c r="W20" s="19">
        <f t="shared" si="15"/>
        <v>0.84683092325474218</v>
      </c>
      <c r="X20" s="19"/>
      <c r="Y20" s="19"/>
      <c r="Z20" s="19" t="str">
        <f t="shared" si="16"/>
        <v/>
      </c>
      <c r="AA20" s="48">
        <f t="shared" si="17"/>
        <v>8.3286400308663466E-2</v>
      </c>
      <c r="AB20" s="19" t="s">
        <v>168</v>
      </c>
      <c r="AC20" s="19">
        <v>596</v>
      </c>
      <c r="AD20" s="19">
        <v>45</v>
      </c>
      <c r="AE20" s="19">
        <v>13</v>
      </c>
      <c r="AF20" s="19">
        <v>11</v>
      </c>
      <c r="AG20" s="19">
        <v>10</v>
      </c>
      <c r="AH20" s="19">
        <v>7</v>
      </c>
      <c r="AI20" s="19"/>
      <c r="AJ20" s="19"/>
      <c r="AK20" s="19"/>
      <c r="AL20" s="19"/>
      <c r="AM20" s="19">
        <v>35</v>
      </c>
      <c r="AN20" s="19"/>
      <c r="AO20" s="19"/>
      <c r="AP20" s="19"/>
      <c r="AQ20" s="19"/>
      <c r="AR20" s="19"/>
    </row>
    <row r="21" spans="1:44" x14ac:dyDescent="0.3">
      <c r="A21" s="19" t="s">
        <v>150</v>
      </c>
      <c r="B21" s="19">
        <v>5</v>
      </c>
      <c r="C21" s="19" t="s">
        <v>53</v>
      </c>
      <c r="D21" s="19">
        <v>3</v>
      </c>
      <c r="E21" s="19">
        <v>10</v>
      </c>
      <c r="F21" s="19"/>
      <c r="G21" s="19">
        <v>60</v>
      </c>
      <c r="H21" s="19">
        <v>4</v>
      </c>
      <c r="I21" s="19">
        <v>3.9935999999999998</v>
      </c>
      <c r="J21" s="19">
        <v>191</v>
      </c>
      <c r="K21" s="19">
        <f t="shared" si="9"/>
        <v>4.7826522435897439E-2</v>
      </c>
      <c r="L21" s="19">
        <v>0.37</v>
      </c>
      <c r="M21" s="19">
        <f t="shared" si="10"/>
        <v>1.48</v>
      </c>
      <c r="N21" s="19">
        <v>1.46</v>
      </c>
      <c r="O21" s="19">
        <v>0.54600000000000004</v>
      </c>
      <c r="P21" s="19">
        <v>0.73299999999999998</v>
      </c>
      <c r="Q21" s="19">
        <f t="shared" si="11"/>
        <v>744884.03819918144</v>
      </c>
      <c r="R21" s="19">
        <v>0.35499999999999998</v>
      </c>
      <c r="S21" s="19">
        <f t="shared" si="12"/>
        <v>0.40021800000000002</v>
      </c>
      <c r="T21" s="19">
        <v>59.7</v>
      </c>
      <c r="U21" s="19">
        <f t="shared" si="13"/>
        <v>0.50452762381501925</v>
      </c>
      <c r="V21" s="19">
        <f t="shared" si="14"/>
        <v>0.20210353640211803</v>
      </c>
      <c r="W21" s="19">
        <f t="shared" si="15"/>
        <v>0.86344355648505533</v>
      </c>
      <c r="X21" s="19"/>
      <c r="Y21" s="19"/>
      <c r="Z21" s="19" t="str">
        <f t="shared" si="16"/>
        <v/>
      </c>
      <c r="AA21" s="48">
        <f t="shared" si="17"/>
        <v>0.10698715613988312</v>
      </c>
      <c r="AB21" s="19" t="s">
        <v>208</v>
      </c>
      <c r="AC21" s="19">
        <v>493</v>
      </c>
      <c r="AD21" s="19">
        <v>46</v>
      </c>
      <c r="AE21" s="19">
        <v>17</v>
      </c>
      <c r="AF21" s="19">
        <v>16</v>
      </c>
      <c r="AG21" s="19">
        <v>11</v>
      </c>
      <c r="AH21" s="19"/>
      <c r="AI21" s="19"/>
      <c r="AJ21" s="19"/>
      <c r="AK21" s="19"/>
      <c r="AL21" s="19"/>
      <c r="AM21" s="19">
        <v>32</v>
      </c>
      <c r="AN21" s="19"/>
      <c r="AO21" s="19"/>
      <c r="AP21" s="19"/>
      <c r="AQ21" s="19"/>
      <c r="AR21" s="19"/>
    </row>
    <row r="22" spans="1:44" x14ac:dyDescent="0.3">
      <c r="A22" s="19" t="s">
        <v>150</v>
      </c>
      <c r="B22" s="19">
        <v>6</v>
      </c>
      <c r="C22" s="19" t="s">
        <v>53</v>
      </c>
      <c r="D22" s="19">
        <v>3</v>
      </c>
      <c r="E22" s="19">
        <v>10</v>
      </c>
      <c r="F22" s="19"/>
      <c r="G22" s="19">
        <v>50</v>
      </c>
      <c r="H22" s="19">
        <v>4</v>
      </c>
      <c r="I22" s="19">
        <v>3.9914999999999998</v>
      </c>
      <c r="J22" s="19">
        <v>211</v>
      </c>
      <c r="K22" s="19">
        <f t="shared" si="9"/>
        <v>5.2862332456469999E-2</v>
      </c>
      <c r="L22" s="19">
        <v>0.27</v>
      </c>
      <c r="M22" s="19">
        <f t="shared" si="10"/>
        <v>1.08</v>
      </c>
      <c r="N22" s="19">
        <v>1.0169999999999999</v>
      </c>
      <c r="O22" s="19">
        <v>0.39500000000000002</v>
      </c>
      <c r="P22" s="19">
        <v>0.56499999999999995</v>
      </c>
      <c r="Q22" s="19">
        <f t="shared" si="11"/>
        <v>699115.04424778768</v>
      </c>
      <c r="R22" s="19">
        <v>0.187</v>
      </c>
      <c r="S22" s="19">
        <f t="shared" si="12"/>
        <v>0.22317499999999998</v>
      </c>
      <c r="T22" s="19">
        <v>62</v>
      </c>
      <c r="U22" s="19">
        <f t="shared" si="13"/>
        <v>0.46947156278589086</v>
      </c>
      <c r="V22" s="19">
        <f t="shared" si="14"/>
        <v>0.10488239908043932</v>
      </c>
      <c r="W22" s="19">
        <f t="shared" si="15"/>
        <v>0.90288666751811175</v>
      </c>
      <c r="X22" s="19"/>
      <c r="Y22" s="19"/>
      <c r="Z22" s="19" t="str">
        <f t="shared" si="16"/>
        <v/>
      </c>
      <c r="AA22" s="48">
        <f t="shared" si="17"/>
        <v>0.10320509993286058</v>
      </c>
      <c r="AB22" s="19" t="s">
        <v>208</v>
      </c>
      <c r="AC22" s="19">
        <v>386</v>
      </c>
      <c r="AD22" s="19">
        <v>30</v>
      </c>
      <c r="AE22" s="19">
        <v>19</v>
      </c>
      <c r="AF22" s="19">
        <v>13</v>
      </c>
      <c r="AG22" s="19">
        <v>11</v>
      </c>
      <c r="AH22" s="19">
        <v>6</v>
      </c>
      <c r="AI22" s="19"/>
      <c r="AJ22" s="19"/>
      <c r="AK22" s="19"/>
      <c r="AL22" s="19"/>
      <c r="AM22" s="19">
        <v>29</v>
      </c>
      <c r="AN22" s="19"/>
      <c r="AO22" s="19"/>
      <c r="AP22" s="19"/>
      <c r="AQ22" s="19"/>
      <c r="AR22" s="19"/>
    </row>
    <row r="23" spans="1:44" x14ac:dyDescent="0.3">
      <c r="A23" s="19" t="s">
        <v>150</v>
      </c>
      <c r="B23" s="19">
        <v>7</v>
      </c>
      <c r="C23" s="19" t="s">
        <v>53</v>
      </c>
      <c r="D23" s="19">
        <v>3</v>
      </c>
      <c r="E23" s="19">
        <v>10</v>
      </c>
      <c r="F23" s="19"/>
      <c r="G23" s="19">
        <v>40</v>
      </c>
      <c r="H23" s="19">
        <v>4</v>
      </c>
      <c r="I23" s="19">
        <v>3.9910000000000001</v>
      </c>
      <c r="J23" s="19">
        <v>187</v>
      </c>
      <c r="K23" s="19">
        <f t="shared" si="9"/>
        <v>4.6855424705587574E-2</v>
      </c>
      <c r="L23" s="19">
        <v>0.16</v>
      </c>
      <c r="M23" s="19">
        <f t="shared" si="10"/>
        <v>0.64</v>
      </c>
      <c r="N23" s="19">
        <v>0.77400000000000002</v>
      </c>
      <c r="O23" s="19">
        <v>0.311</v>
      </c>
      <c r="P23" s="19">
        <v>0.47799999999999998</v>
      </c>
      <c r="Q23" s="19">
        <f t="shared" si="11"/>
        <v>650627.61506276147</v>
      </c>
      <c r="R23" s="19">
        <v>0.112</v>
      </c>
      <c r="S23" s="19">
        <f t="shared" si="12"/>
        <v>0.14865799999999998</v>
      </c>
      <c r="T23" s="19">
        <v>65.5</v>
      </c>
      <c r="U23" s="19">
        <f t="shared" si="13"/>
        <v>0.41469324265623914</v>
      </c>
      <c r="V23" s="19">
        <f t="shared" si="14"/>
        <v>6.1725855046982032E-2</v>
      </c>
      <c r="W23" s="19">
        <f t="shared" si="15"/>
        <v>0.90355335148909055</v>
      </c>
      <c r="X23" s="19"/>
      <c r="Y23" s="19"/>
      <c r="Z23" s="19" t="str">
        <f t="shared" si="16"/>
        <v/>
      </c>
      <c r="AA23" s="48">
        <f t="shared" si="17"/>
        <v>0.14580820434638408</v>
      </c>
      <c r="AB23" s="19" t="s">
        <v>208</v>
      </c>
      <c r="AC23" s="19">
        <v>302</v>
      </c>
      <c r="AD23" s="19">
        <v>37</v>
      </c>
      <c r="AE23" s="19">
        <v>20</v>
      </c>
      <c r="AF23" s="19">
        <v>11</v>
      </c>
      <c r="AG23" s="19">
        <v>7</v>
      </c>
      <c r="AH23" s="19"/>
      <c r="AI23" s="19"/>
      <c r="AJ23" s="19"/>
      <c r="AK23" s="19"/>
      <c r="AL23" s="19"/>
      <c r="AM23" s="19">
        <v>26</v>
      </c>
      <c r="AN23" s="19"/>
      <c r="AO23" s="19"/>
      <c r="AP23" s="19"/>
      <c r="AQ23" s="19"/>
      <c r="AR23" s="19"/>
    </row>
    <row r="24" spans="1:44" x14ac:dyDescent="0.3">
      <c r="A24" s="19" t="s">
        <v>150</v>
      </c>
      <c r="B24" s="19">
        <v>8</v>
      </c>
      <c r="C24" s="19" t="s">
        <v>53</v>
      </c>
      <c r="D24" s="19">
        <v>3</v>
      </c>
      <c r="E24" s="19">
        <v>10</v>
      </c>
      <c r="F24" s="19"/>
      <c r="G24" s="19">
        <v>30</v>
      </c>
      <c r="H24" s="19">
        <v>4</v>
      </c>
      <c r="I24" s="19">
        <v>3.9914999999999998</v>
      </c>
      <c r="J24" s="19">
        <v>176</v>
      </c>
      <c r="K24" s="19">
        <f t="shared" si="9"/>
        <v>4.4093699110610049E-2</v>
      </c>
      <c r="L24" s="19">
        <v>0.12</v>
      </c>
      <c r="M24" s="19">
        <f t="shared" si="10"/>
        <v>0.48</v>
      </c>
      <c r="N24" s="19">
        <v>0.56299999999999994</v>
      </c>
      <c r="O24" s="19">
        <v>0.23</v>
      </c>
      <c r="P24" s="19">
        <v>0.39400000000000002</v>
      </c>
      <c r="Q24" s="19">
        <f t="shared" si="11"/>
        <v>583756.34517766489</v>
      </c>
      <c r="R24" s="19">
        <v>6.0999999999999999E-2</v>
      </c>
      <c r="S24" s="19">
        <f t="shared" si="12"/>
        <v>9.0620000000000006E-2</v>
      </c>
      <c r="T24" s="19">
        <v>70.5</v>
      </c>
      <c r="U24" s="19">
        <f t="shared" si="13"/>
        <v>0.3338068592337709</v>
      </c>
      <c r="V24" s="19">
        <f t="shared" si="14"/>
        <v>3.0302857133819718E-2</v>
      </c>
      <c r="W24" s="19">
        <f t="shared" si="15"/>
        <v>0.9368690476378756</v>
      </c>
      <c r="X24" s="19"/>
      <c r="Y24" s="19"/>
      <c r="Z24" s="19" t="str">
        <f t="shared" si="16"/>
        <v/>
      </c>
      <c r="AA24" s="48">
        <f t="shared" si="17"/>
        <v>0.19225068260292394</v>
      </c>
      <c r="AB24" s="19" t="s">
        <v>208</v>
      </c>
      <c r="AC24" s="19">
        <v>223</v>
      </c>
      <c r="AD24" s="19">
        <v>36</v>
      </c>
      <c r="AE24" s="19">
        <v>19</v>
      </c>
      <c r="AF24" s="19">
        <v>10</v>
      </c>
      <c r="AG24" s="19">
        <v>9</v>
      </c>
      <c r="AH24" s="19"/>
      <c r="AI24" s="19"/>
      <c r="AJ24" s="19"/>
      <c r="AK24" s="19"/>
      <c r="AL24" s="19"/>
      <c r="AM24" s="19">
        <v>25</v>
      </c>
      <c r="AN24" s="19"/>
      <c r="AO24" s="19"/>
      <c r="AP24" s="19"/>
      <c r="AQ24" s="19"/>
      <c r="AR24" s="19"/>
    </row>
    <row r="25" spans="1:44" x14ac:dyDescent="0.3">
      <c r="A25" s="19" t="s">
        <v>150</v>
      </c>
      <c r="B25" s="19">
        <v>9</v>
      </c>
      <c r="C25" s="19" t="s">
        <v>53</v>
      </c>
      <c r="D25" s="19">
        <v>3</v>
      </c>
      <c r="E25" s="19">
        <v>10</v>
      </c>
      <c r="F25" s="19"/>
      <c r="G25" s="19">
        <v>20</v>
      </c>
      <c r="H25" s="19">
        <v>4</v>
      </c>
      <c r="I25" s="19">
        <v>3.9914000000000001</v>
      </c>
      <c r="J25" s="19">
        <v>191</v>
      </c>
      <c r="K25" s="19">
        <f t="shared" si="9"/>
        <v>4.7852883699954905E-2</v>
      </c>
      <c r="L25" s="19">
        <v>0.1</v>
      </c>
      <c r="M25" s="19">
        <f t="shared" si="10"/>
        <v>0.4</v>
      </c>
      <c r="N25" s="19">
        <v>0.375</v>
      </c>
      <c r="O25" s="19">
        <v>0.157</v>
      </c>
      <c r="P25" s="19">
        <v>0.317</v>
      </c>
      <c r="Q25" s="19">
        <f t="shared" si="11"/>
        <v>495268.13880126184</v>
      </c>
      <c r="R25" s="19">
        <v>2.8000000000000001E-2</v>
      </c>
      <c r="S25" s="19">
        <f t="shared" si="12"/>
        <v>4.9769000000000001E-2</v>
      </c>
      <c r="T25" s="19">
        <v>81.400000000000006</v>
      </c>
      <c r="U25" s="19">
        <f t="shared" si="13"/>
        <v>0.14953534344370958</v>
      </c>
      <c r="V25" s="19">
        <f t="shared" si="14"/>
        <v>7.4776648370681962E-3</v>
      </c>
      <c r="W25" s="19">
        <f t="shared" si="15"/>
        <v>0.9813058379073295</v>
      </c>
      <c r="X25" s="19"/>
      <c r="Y25" s="19"/>
      <c r="Z25" s="19" t="str">
        <f t="shared" si="16"/>
        <v/>
      </c>
      <c r="AA25" s="48">
        <f t="shared" si="17"/>
        <v>0.25693450461934519</v>
      </c>
      <c r="AB25" s="19" t="s">
        <v>208</v>
      </c>
      <c r="AC25" s="19">
        <v>148</v>
      </c>
      <c r="AD25" s="19">
        <v>29</v>
      </c>
      <c r="AE25" s="19">
        <v>20</v>
      </c>
      <c r="AF25" s="19">
        <v>13</v>
      </c>
      <c r="AG25" s="19">
        <v>6</v>
      </c>
      <c r="AH25" s="19"/>
      <c r="AI25" s="19"/>
      <c r="AJ25" s="19"/>
      <c r="AK25" s="19"/>
      <c r="AL25" s="19"/>
      <c r="AM25" s="19">
        <v>25</v>
      </c>
      <c r="AN25" s="19"/>
      <c r="AO25" s="19"/>
      <c r="AP25" s="19"/>
      <c r="AQ25" s="19"/>
      <c r="AR25" s="19"/>
    </row>
    <row r="26" spans="1:44" x14ac:dyDescent="0.3">
      <c r="A26" s="19" t="s">
        <v>150</v>
      </c>
      <c r="B26" s="19">
        <v>10</v>
      </c>
      <c r="C26" s="19" t="s">
        <v>53</v>
      </c>
      <c r="D26" s="19">
        <v>3</v>
      </c>
      <c r="E26" s="19">
        <v>10</v>
      </c>
      <c r="F26" s="19"/>
      <c r="G26" s="19">
        <v>10</v>
      </c>
      <c r="H26" s="19">
        <v>4</v>
      </c>
      <c r="I26" s="19">
        <v>3.9935999999999998</v>
      </c>
      <c r="J26" s="19">
        <v>311</v>
      </c>
      <c r="K26" s="19">
        <f t="shared" si="9"/>
        <v>7.7874599358974367E-2</v>
      </c>
      <c r="L26" s="19">
        <v>0.08</v>
      </c>
      <c r="M26" s="19">
        <f t="shared" si="10"/>
        <v>0.32</v>
      </c>
      <c r="N26" s="19">
        <v>0.19500000000000001</v>
      </c>
      <c r="O26" s="19">
        <v>8.3000000000000004E-2</v>
      </c>
      <c r="P26" s="19">
        <v>0.22600000000000001</v>
      </c>
      <c r="Q26" s="19">
        <f t="shared" si="11"/>
        <v>367256.63716814161</v>
      </c>
      <c r="R26" s="19">
        <v>8.9999999999999993E-3</v>
      </c>
      <c r="S26" s="19">
        <f t="shared" si="12"/>
        <v>1.8758E-2</v>
      </c>
      <c r="T26" s="19">
        <v>91.7</v>
      </c>
      <c r="U26" s="19">
        <f t="shared" si="13"/>
        <v>-2.9666244085110847E-2</v>
      </c>
      <c r="V26" s="19">
        <f t="shared" si="14"/>
        <v>-5.4126627306347959E-4</v>
      </c>
      <c r="W26" s="19">
        <f t="shared" si="15"/>
        <v>1.0016914571033233</v>
      </c>
      <c r="X26" s="19"/>
      <c r="Y26" s="19"/>
      <c r="Z26" s="19" t="str">
        <f t="shared" si="16"/>
        <v/>
      </c>
      <c r="AA26" s="48">
        <f t="shared" si="17"/>
        <v>0.35647939958273855</v>
      </c>
      <c r="AB26" s="19" t="s">
        <v>208</v>
      </c>
      <c r="AC26" s="19">
        <v>76</v>
      </c>
      <c r="AD26" s="19">
        <v>19</v>
      </c>
      <c r="AE26" s="19">
        <v>16</v>
      </c>
      <c r="AF26" s="19">
        <v>9</v>
      </c>
      <c r="AG26" s="19">
        <v>6</v>
      </c>
      <c r="AH26" s="19"/>
      <c r="AI26" s="19"/>
      <c r="AJ26" s="19"/>
      <c r="AK26" s="19"/>
      <c r="AL26" s="19"/>
      <c r="AM26" s="19">
        <v>25</v>
      </c>
      <c r="AN26" s="19"/>
      <c r="AO26" s="19"/>
      <c r="AP26" s="19"/>
      <c r="AQ26" s="19"/>
      <c r="AR26" s="19"/>
    </row>
    <row r="27" spans="1:44" x14ac:dyDescent="0.3">
      <c r="A27" s="19" t="s">
        <v>150</v>
      </c>
      <c r="B27" s="19">
        <v>11</v>
      </c>
      <c r="C27" s="19" t="s">
        <v>53</v>
      </c>
      <c r="D27" s="19">
        <v>3</v>
      </c>
      <c r="E27" s="19">
        <v>10</v>
      </c>
      <c r="F27" s="19"/>
      <c r="G27" s="19">
        <v>5</v>
      </c>
      <c r="H27" s="19">
        <v>4</v>
      </c>
      <c r="I27" s="19">
        <v>3.9971999999999999</v>
      </c>
      <c r="J27" s="19">
        <v>51</v>
      </c>
      <c r="K27" s="19">
        <f t="shared" si="9"/>
        <v>1.2758931251876313E-2</v>
      </c>
      <c r="L27" s="19">
        <v>0.08</v>
      </c>
      <c r="M27" s="19">
        <f t="shared" si="10"/>
        <v>0.32</v>
      </c>
      <c r="N27" s="19">
        <v>0</v>
      </c>
      <c r="O27" s="19">
        <v>0</v>
      </c>
      <c r="P27" s="19">
        <v>0</v>
      </c>
      <c r="Q27" s="19" t="str">
        <f t="shared" si="11"/>
        <v/>
      </c>
      <c r="R27" s="19">
        <v>0</v>
      </c>
      <c r="S27" s="19">
        <f t="shared" si="12"/>
        <v>0</v>
      </c>
      <c r="T27" s="19">
        <v>0</v>
      </c>
      <c r="U27" s="19">
        <f t="shared" si="13"/>
        <v>1</v>
      </c>
      <c r="V27" s="19">
        <f t="shared" si="14"/>
        <v>0</v>
      </c>
      <c r="W27" s="19">
        <f t="shared" si="15"/>
        <v>1</v>
      </c>
      <c r="X27" s="19"/>
      <c r="Y27" s="19"/>
      <c r="Z27" s="19" t="str">
        <f t="shared" si="16"/>
        <v/>
      </c>
      <c r="AA27" s="48" t="str">
        <f t="shared" si="17"/>
        <v/>
      </c>
      <c r="AB27" s="19" t="s">
        <v>209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/>
      <c r="AK27" s="19"/>
      <c r="AL27" s="19"/>
      <c r="AM27" s="19">
        <v>25</v>
      </c>
      <c r="AN27" s="19"/>
      <c r="AO27" s="19"/>
      <c r="AP27" s="19"/>
      <c r="AQ27" s="19"/>
      <c r="AR27" s="19"/>
    </row>
    <row r="28" spans="1:44" ht="18" customHeight="1" x14ac:dyDescent="0.3">
      <c r="A28" s="63" t="s">
        <v>210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</row>
    <row r="29" spans="1:44" x14ac:dyDescent="0.3">
      <c r="A29" s="19" t="s">
        <v>156</v>
      </c>
      <c r="B29" s="19">
        <v>1</v>
      </c>
      <c r="C29" s="19" t="s">
        <v>53</v>
      </c>
      <c r="D29" s="19">
        <v>3</v>
      </c>
      <c r="E29" s="19">
        <v>5</v>
      </c>
      <c r="F29" s="19"/>
      <c r="G29" s="19">
        <v>100</v>
      </c>
      <c r="H29" s="19">
        <v>4</v>
      </c>
      <c r="I29" s="19">
        <v>3.87</v>
      </c>
      <c r="J29" s="19">
        <v>237</v>
      </c>
      <c r="K29" s="19">
        <f t="shared" ref="K29:K39" si="18">IF(COUNT(J29,I29)=0,"",IFERROR(J29/1000/I29,""))</f>
        <v>6.1240310077519372E-2</v>
      </c>
      <c r="L29" s="19">
        <v>0.61</v>
      </c>
      <c r="M29" s="19">
        <f t="shared" ref="M29:M39" si="19">IF(COUNT(H29,L29)=0,"",IFERROR(H29*L29,""))</f>
        <v>2.44</v>
      </c>
      <c r="N29" s="19">
        <v>5.13</v>
      </c>
      <c r="O29" s="19">
        <v>1.88</v>
      </c>
      <c r="P29" s="19">
        <v>0.90700000000000003</v>
      </c>
      <c r="Q29" s="19">
        <f t="shared" ref="Q29:Q39" si="20">IF(COUNT(O29,P29)=0,"",IFERROR(O29*1000/P29*1000,""))</f>
        <v>2072767.3649393604</v>
      </c>
      <c r="R29" s="19">
        <v>0.89</v>
      </c>
      <c r="S29" s="19">
        <f t="shared" ref="S29:S39" si="21">IF(COUNT(O29,P29)=0,"",IFERROR(O29*P29,""))</f>
        <v>1.70516</v>
      </c>
      <c r="T29" s="19">
        <v>85.16</v>
      </c>
      <c r="U29" s="19">
        <f t="shared" ref="U29:U39" si="22">IF(COUNT(T29)=0,"",IFERROR(COS(T29/180*PI()),""))</f>
        <v>8.4373506138682858E-2</v>
      </c>
      <c r="V29" s="19">
        <f t="shared" ref="V29:V39" si="23">IF(COUNT(S29,T29)=0,"",IFERROR(S29*COS(T29/360*2*3.14),""))</f>
        <v>0.14515054693037935</v>
      </c>
      <c r="W29" s="19">
        <f t="shared" ref="W29:W39" si="24">IF(COUNT(V29,M29)=0,"",IFERROR(1-V29/M29,""))</f>
        <v>0.94051207093017242</v>
      </c>
      <c r="X29" s="19">
        <v>0.15</v>
      </c>
      <c r="Y29" s="19">
        <v>8.5000000000000006E-2</v>
      </c>
      <c r="Z29" s="19">
        <f t="shared" ref="Z29:Z39" si="25">IFERROR(IF(OR(V29="",X29="",X29=0),"",(V29-X29)/X29*100),"")</f>
        <v>-3.2329687130804308</v>
      </c>
      <c r="AA29" s="48">
        <f t="shared" ref="AA29:AA39" si="26">IF(COUNT(AD29,AE29,AF29,AG29,AH29,AI29,AJ29,AK29,AL29,AC29)=0,"",IFERROR(SQRT(AD29^2+AE29^2+AF29^2+AG29^2+AH29^2+AI29^2+AJ29^2+AK29^2+AL29^2)/AC29,""))</f>
        <v>0.20775377298141626</v>
      </c>
      <c r="AB29" s="19" t="s">
        <v>168</v>
      </c>
      <c r="AC29" s="19">
        <v>1065</v>
      </c>
      <c r="AD29" s="19">
        <v>182</v>
      </c>
      <c r="AE29" s="19">
        <v>118</v>
      </c>
      <c r="AF29" s="19">
        <v>32</v>
      </c>
      <c r="AG29" s="19">
        <v>19</v>
      </c>
      <c r="AH29" s="19">
        <v>12</v>
      </c>
      <c r="AI29" s="19">
        <v>12</v>
      </c>
      <c r="AJ29" s="19">
        <v>11</v>
      </c>
      <c r="AK29" s="19">
        <v>8</v>
      </c>
      <c r="AL29" s="19">
        <v>7</v>
      </c>
      <c r="AM29" s="19">
        <v>30</v>
      </c>
      <c r="AN29" s="19" t="s">
        <v>55</v>
      </c>
      <c r="AO29" s="19">
        <v>1</v>
      </c>
      <c r="AP29" s="19"/>
      <c r="AQ29" s="19"/>
      <c r="AR29" s="19"/>
    </row>
    <row r="30" spans="1:44" x14ac:dyDescent="0.3">
      <c r="A30" s="19" t="s">
        <v>156</v>
      </c>
      <c r="B30" s="19">
        <v>2</v>
      </c>
      <c r="C30" s="19" t="s">
        <v>53</v>
      </c>
      <c r="D30" s="19">
        <v>3</v>
      </c>
      <c r="E30" s="19">
        <v>5</v>
      </c>
      <c r="F30" s="19"/>
      <c r="G30" s="19">
        <v>90</v>
      </c>
      <c r="H30" s="19">
        <v>4</v>
      </c>
      <c r="I30" s="19">
        <v>3.87</v>
      </c>
      <c r="J30" s="19">
        <v>198</v>
      </c>
      <c r="K30" s="19">
        <f t="shared" si="18"/>
        <v>5.1162790697674418E-2</v>
      </c>
      <c r="L30" s="19">
        <v>0.56999999999999995</v>
      </c>
      <c r="M30" s="19">
        <f t="shared" si="19"/>
        <v>2.2799999999999998</v>
      </c>
      <c r="N30" s="19">
        <v>5.05</v>
      </c>
      <c r="O30" s="19">
        <v>1.85</v>
      </c>
      <c r="P30" s="19">
        <v>0.83499999999999996</v>
      </c>
      <c r="Q30" s="19">
        <f t="shared" si="20"/>
        <v>2215568.8622754491</v>
      </c>
      <c r="R30" s="19">
        <v>0.86599999999999999</v>
      </c>
      <c r="S30" s="19">
        <f t="shared" si="21"/>
        <v>1.5447500000000001</v>
      </c>
      <c r="T30" s="19">
        <v>85.8</v>
      </c>
      <c r="U30" s="19">
        <f t="shared" si="22"/>
        <v>7.3238197127631854E-2</v>
      </c>
      <c r="V30" s="19">
        <f t="shared" si="23"/>
        <v>0.11430424287789313</v>
      </c>
      <c r="W30" s="19">
        <f t="shared" si="24"/>
        <v>0.94986656014127491</v>
      </c>
      <c r="X30" s="19">
        <v>0.113</v>
      </c>
      <c r="Y30" s="19">
        <v>7.3999999999999996E-2</v>
      </c>
      <c r="Z30" s="19">
        <f t="shared" si="25"/>
        <v>1.1541972370735665</v>
      </c>
      <c r="AA30" s="48">
        <f t="shared" si="26"/>
        <v>0.11875544969222554</v>
      </c>
      <c r="AB30" s="19" t="s">
        <v>168</v>
      </c>
      <c r="AC30" s="19">
        <v>1777</v>
      </c>
      <c r="AD30" s="19">
        <v>180</v>
      </c>
      <c r="AE30" s="19">
        <v>105</v>
      </c>
      <c r="AF30" s="19">
        <v>23</v>
      </c>
      <c r="AG30" s="19">
        <v>17</v>
      </c>
      <c r="AH30" s="19">
        <v>13</v>
      </c>
      <c r="AI30" s="19">
        <v>7</v>
      </c>
      <c r="AJ30" s="19">
        <v>6</v>
      </c>
      <c r="AK30" s="19">
        <v>6</v>
      </c>
      <c r="AL30" s="19"/>
      <c r="AM30" s="19">
        <v>30</v>
      </c>
      <c r="AN30" s="19" t="s">
        <v>55</v>
      </c>
      <c r="AO30" s="19">
        <v>1</v>
      </c>
      <c r="AP30" s="19"/>
      <c r="AQ30" s="19"/>
      <c r="AR30" s="19"/>
    </row>
    <row r="31" spans="1:44" x14ac:dyDescent="0.3">
      <c r="A31" s="19" t="s">
        <v>156</v>
      </c>
      <c r="B31" s="19">
        <v>3</v>
      </c>
      <c r="C31" s="19" t="s">
        <v>53</v>
      </c>
      <c r="D31" s="19">
        <v>3</v>
      </c>
      <c r="E31" s="19">
        <v>5</v>
      </c>
      <c r="F31" s="19"/>
      <c r="G31" s="19">
        <v>80</v>
      </c>
      <c r="H31" s="19">
        <v>4</v>
      </c>
      <c r="I31" s="19">
        <v>3.87</v>
      </c>
      <c r="J31" s="19">
        <v>198</v>
      </c>
      <c r="K31" s="19">
        <f t="shared" si="18"/>
        <v>5.1162790697674418E-2</v>
      </c>
      <c r="L31" s="19">
        <v>0.51</v>
      </c>
      <c r="M31" s="19">
        <f t="shared" si="19"/>
        <v>2.04</v>
      </c>
      <c r="N31" s="19">
        <v>4.8099999999999996</v>
      </c>
      <c r="O31" s="19">
        <v>1.76</v>
      </c>
      <c r="P31" s="19">
        <v>0.74</v>
      </c>
      <c r="Q31" s="19">
        <f t="shared" si="20"/>
        <v>2378378.3783783782</v>
      </c>
      <c r="R31" s="19">
        <v>0.82899999999999996</v>
      </c>
      <c r="S31" s="19">
        <f t="shared" si="21"/>
        <v>1.3024</v>
      </c>
      <c r="T31" s="19">
        <v>86.86</v>
      </c>
      <c r="U31" s="19">
        <f t="shared" si="22"/>
        <v>5.4775909853433606E-2</v>
      </c>
      <c r="V31" s="19">
        <f t="shared" si="23"/>
        <v>7.2339572564596083E-2</v>
      </c>
      <c r="W31" s="19">
        <f t="shared" si="24"/>
        <v>0.96453942521343328</v>
      </c>
      <c r="X31" s="19">
        <v>7.0999999999999994E-2</v>
      </c>
      <c r="Y31" s="19">
        <v>5.3999999999999999E-2</v>
      </c>
      <c r="Z31" s="19">
        <f t="shared" si="25"/>
        <v>1.8867219219663234</v>
      </c>
      <c r="AA31" s="48">
        <f t="shared" si="26"/>
        <v>0.12594105026440022</v>
      </c>
      <c r="AB31" s="19" t="s">
        <v>168</v>
      </c>
      <c r="AC31" s="19">
        <v>1693</v>
      </c>
      <c r="AD31" s="19">
        <v>185</v>
      </c>
      <c r="AE31" s="19">
        <v>97</v>
      </c>
      <c r="AF31" s="19">
        <v>26</v>
      </c>
      <c r="AG31" s="19">
        <v>23</v>
      </c>
      <c r="AH31" s="19">
        <v>18</v>
      </c>
      <c r="AI31" s="19">
        <v>13</v>
      </c>
      <c r="AJ31" s="19">
        <v>9</v>
      </c>
      <c r="AK31" s="19">
        <v>7</v>
      </c>
      <c r="AL31" s="19"/>
      <c r="AM31" s="19">
        <v>29</v>
      </c>
      <c r="AN31" s="19" t="s">
        <v>55</v>
      </c>
      <c r="AO31" s="19">
        <v>1</v>
      </c>
      <c r="AP31" s="19"/>
      <c r="AQ31" s="19"/>
      <c r="AR31" s="19" t="s">
        <v>211</v>
      </c>
    </row>
    <row r="32" spans="1:44" x14ac:dyDescent="0.3">
      <c r="A32" s="19" t="s">
        <v>156</v>
      </c>
      <c r="B32" s="19">
        <v>4</v>
      </c>
      <c r="C32" s="19" t="s">
        <v>53</v>
      </c>
      <c r="D32" s="19">
        <v>3</v>
      </c>
      <c r="E32" s="19">
        <v>5</v>
      </c>
      <c r="F32" s="19"/>
      <c r="G32" s="19">
        <v>70</v>
      </c>
      <c r="H32" s="19">
        <v>4</v>
      </c>
      <c r="I32" s="19">
        <v>3.87</v>
      </c>
      <c r="J32" s="19">
        <v>158</v>
      </c>
      <c r="K32" s="19">
        <f t="shared" si="18"/>
        <v>4.0826873385012917E-2</v>
      </c>
      <c r="L32" s="19">
        <v>0.4</v>
      </c>
      <c r="M32" s="19">
        <f t="shared" si="19"/>
        <v>1.6</v>
      </c>
      <c r="N32" s="19">
        <v>4.58</v>
      </c>
      <c r="O32" s="19">
        <v>1.67</v>
      </c>
      <c r="P32" s="19">
        <v>0.66</v>
      </c>
      <c r="Q32" s="19">
        <f t="shared" si="20"/>
        <v>2530303.0303030298</v>
      </c>
      <c r="R32" s="19">
        <v>0.75</v>
      </c>
      <c r="S32" s="19">
        <f t="shared" si="21"/>
        <v>1.1022000000000001</v>
      </c>
      <c r="T32" s="19">
        <v>88.8</v>
      </c>
      <c r="U32" s="19">
        <f t="shared" si="22"/>
        <v>2.0942419883357051E-2</v>
      </c>
      <c r="V32" s="19">
        <f t="shared" si="23"/>
        <v>2.3948546626184487E-2</v>
      </c>
      <c r="W32" s="19">
        <f t="shared" si="24"/>
        <v>0.98503215835863467</v>
      </c>
      <c r="X32" s="19">
        <v>2.3E-2</v>
      </c>
      <c r="Y32" s="19">
        <v>0.02</v>
      </c>
      <c r="Z32" s="19">
        <f t="shared" si="25"/>
        <v>4.1241157660195125</v>
      </c>
      <c r="AA32" s="48">
        <f t="shared" si="26"/>
        <v>0.13401066188099209</v>
      </c>
      <c r="AB32" s="19" t="s">
        <v>168</v>
      </c>
      <c r="AC32" s="19">
        <v>1611</v>
      </c>
      <c r="AD32" s="19">
        <v>182</v>
      </c>
      <c r="AE32" s="19">
        <v>103</v>
      </c>
      <c r="AF32" s="19">
        <v>38</v>
      </c>
      <c r="AG32" s="19">
        <v>28</v>
      </c>
      <c r="AH32" s="19">
        <v>22</v>
      </c>
      <c r="AI32" s="19">
        <v>10</v>
      </c>
      <c r="AJ32" s="19">
        <v>8</v>
      </c>
      <c r="AK32" s="19"/>
      <c r="AL32" s="19"/>
      <c r="AM32" s="19">
        <v>28</v>
      </c>
      <c r="AN32" s="19" t="s">
        <v>55</v>
      </c>
      <c r="AO32" s="19">
        <v>1</v>
      </c>
      <c r="AP32" s="19"/>
      <c r="AQ32" s="19"/>
      <c r="AR32" s="19" t="s">
        <v>211</v>
      </c>
    </row>
    <row r="33" spans="1:44" x14ac:dyDescent="0.3">
      <c r="A33" s="19" t="s">
        <v>156</v>
      </c>
      <c r="B33" s="19">
        <v>5</v>
      </c>
      <c r="C33" s="19" t="s">
        <v>53</v>
      </c>
      <c r="D33" s="19">
        <v>3</v>
      </c>
      <c r="E33" s="19">
        <v>5</v>
      </c>
      <c r="F33" s="19"/>
      <c r="G33" s="19">
        <v>60</v>
      </c>
      <c r="H33" s="19">
        <v>4</v>
      </c>
      <c r="I33" s="19">
        <v>3.87</v>
      </c>
      <c r="J33" s="19">
        <v>118</v>
      </c>
      <c r="K33" s="19">
        <f t="shared" si="18"/>
        <v>3.049095607235142E-2</v>
      </c>
      <c r="L33" s="19">
        <v>0.34</v>
      </c>
      <c r="M33" s="19">
        <f t="shared" si="19"/>
        <v>1.36</v>
      </c>
      <c r="N33" s="19">
        <v>4.34</v>
      </c>
      <c r="O33" s="19">
        <v>1.59</v>
      </c>
      <c r="P33" s="19">
        <v>0.59199999999999997</v>
      </c>
      <c r="Q33" s="19">
        <f t="shared" si="20"/>
        <v>2685810.8108108109</v>
      </c>
      <c r="R33" s="19">
        <v>0.625</v>
      </c>
      <c r="S33" s="19">
        <f t="shared" si="21"/>
        <v>0.94128000000000001</v>
      </c>
      <c r="T33" s="19">
        <v>89.75</v>
      </c>
      <c r="U33" s="19">
        <f t="shared" si="22"/>
        <v>4.3633092847465823E-3</v>
      </c>
      <c r="V33" s="19">
        <f t="shared" si="23"/>
        <v>4.8545716308407974E-3</v>
      </c>
      <c r="W33" s="19">
        <f t="shared" si="24"/>
        <v>0.99643046203614649</v>
      </c>
      <c r="X33" s="19">
        <v>3.3999999999999998E-3</v>
      </c>
      <c r="Y33" s="19">
        <v>4.1000000000000003E-3</v>
      </c>
      <c r="Z33" s="19">
        <f t="shared" si="25"/>
        <v>42.781518554141108</v>
      </c>
      <c r="AA33" s="48">
        <f t="shared" si="26"/>
        <v>0.14316152258965364</v>
      </c>
      <c r="AB33" s="19" t="s">
        <v>168</v>
      </c>
      <c r="AC33" s="19">
        <v>1531</v>
      </c>
      <c r="AD33" s="19">
        <v>180</v>
      </c>
      <c r="AE33" s="19">
        <v>113</v>
      </c>
      <c r="AF33" s="19">
        <v>38</v>
      </c>
      <c r="AG33" s="19">
        <v>33</v>
      </c>
      <c r="AH33" s="19">
        <v>15</v>
      </c>
      <c r="AI33" s="19">
        <v>8</v>
      </c>
      <c r="AJ33" s="19">
        <v>7</v>
      </c>
      <c r="AK33" s="19"/>
      <c r="AL33" s="19"/>
      <c r="AM33" s="19">
        <v>27</v>
      </c>
      <c r="AN33" s="19" t="s">
        <v>55</v>
      </c>
      <c r="AO33" s="19">
        <v>0</v>
      </c>
      <c r="AP33" s="19"/>
      <c r="AQ33" s="19"/>
      <c r="AR33" s="19"/>
    </row>
    <row r="34" spans="1:44" x14ac:dyDescent="0.3">
      <c r="A34" s="19" t="s">
        <v>156</v>
      </c>
      <c r="B34" s="19">
        <v>6</v>
      </c>
      <c r="C34" s="19" t="s">
        <v>53</v>
      </c>
      <c r="D34" s="19">
        <v>3</v>
      </c>
      <c r="E34" s="19">
        <v>5</v>
      </c>
      <c r="F34" s="19"/>
      <c r="G34" s="19">
        <v>50</v>
      </c>
      <c r="H34" s="19">
        <v>4</v>
      </c>
      <c r="I34" s="19">
        <v>3.87</v>
      </c>
      <c r="J34" s="19">
        <v>118</v>
      </c>
      <c r="K34" s="19">
        <f t="shared" si="18"/>
        <v>3.049095607235142E-2</v>
      </c>
      <c r="L34" s="19">
        <v>0.3</v>
      </c>
      <c r="M34" s="19">
        <f t="shared" si="19"/>
        <v>1.2</v>
      </c>
      <c r="N34" s="19">
        <v>4.1100000000000003</v>
      </c>
      <c r="O34" s="19">
        <v>1.52</v>
      </c>
      <c r="P34" s="19">
        <v>0.52100000000000002</v>
      </c>
      <c r="Q34" s="19">
        <f t="shared" si="20"/>
        <v>2917466.4107485604</v>
      </c>
      <c r="R34" s="19">
        <v>0.47799999999999998</v>
      </c>
      <c r="S34" s="19">
        <f t="shared" si="21"/>
        <v>0.79192000000000007</v>
      </c>
      <c r="T34" s="19">
        <v>90.5</v>
      </c>
      <c r="U34" s="19">
        <f t="shared" si="22"/>
        <v>-8.7265354983737751E-3</v>
      </c>
      <c r="V34" s="19">
        <f t="shared" si="23"/>
        <v>-6.2766093904159E-3</v>
      </c>
      <c r="W34" s="19">
        <f t="shared" si="24"/>
        <v>1.0052305078253465</v>
      </c>
      <c r="X34" s="19">
        <v>-7.4999999999999997E-3</v>
      </c>
      <c r="Y34" s="19">
        <v>-8.9999999999999993E-3</v>
      </c>
      <c r="Z34" s="19">
        <f t="shared" si="25"/>
        <v>-16.311874794454663</v>
      </c>
      <c r="AA34" s="48">
        <f t="shared" si="26"/>
        <v>0.14962830474253841</v>
      </c>
      <c r="AB34" s="19" t="s">
        <v>168</v>
      </c>
      <c r="AC34" s="19">
        <v>1461</v>
      </c>
      <c r="AD34" s="19">
        <v>177</v>
      </c>
      <c r="AE34" s="19">
        <v>118</v>
      </c>
      <c r="AF34" s="19">
        <v>37</v>
      </c>
      <c r="AG34" s="19">
        <v>26</v>
      </c>
      <c r="AH34" s="19">
        <v>17</v>
      </c>
      <c r="AI34" s="19">
        <v>11</v>
      </c>
      <c r="AJ34" s="19">
        <v>9</v>
      </c>
      <c r="AK34" s="19"/>
      <c r="AL34" s="19"/>
      <c r="AM34" s="19">
        <v>27</v>
      </c>
      <c r="AN34" s="19" t="s">
        <v>55</v>
      </c>
      <c r="AO34" s="19">
        <v>0</v>
      </c>
      <c r="AP34" s="19"/>
      <c r="AQ34" s="19"/>
      <c r="AR34" s="19"/>
    </row>
    <row r="35" spans="1:44" x14ac:dyDescent="0.3">
      <c r="A35" s="19" t="s">
        <v>156</v>
      </c>
      <c r="B35" s="19">
        <v>7</v>
      </c>
      <c r="C35" s="19" t="s">
        <v>53</v>
      </c>
      <c r="D35" s="19">
        <v>3</v>
      </c>
      <c r="E35" s="19">
        <v>5</v>
      </c>
      <c r="F35" s="19"/>
      <c r="G35" s="19">
        <v>40</v>
      </c>
      <c r="H35" s="19">
        <v>4</v>
      </c>
      <c r="I35" s="19">
        <v>3.87</v>
      </c>
      <c r="J35" s="19">
        <v>158</v>
      </c>
      <c r="K35" s="19">
        <f t="shared" si="18"/>
        <v>4.0826873385012917E-2</v>
      </c>
      <c r="L35" s="19">
        <v>0.25</v>
      </c>
      <c r="M35" s="19">
        <f t="shared" si="19"/>
        <v>1</v>
      </c>
      <c r="N35" s="19">
        <v>3.63</v>
      </c>
      <c r="O35" s="19">
        <v>1.36</v>
      </c>
      <c r="P35" s="19">
        <v>0.44500000000000001</v>
      </c>
      <c r="Q35" s="19">
        <f t="shared" si="20"/>
        <v>3056179.7752808989</v>
      </c>
      <c r="R35" s="19">
        <v>0.37</v>
      </c>
      <c r="S35" s="19">
        <f t="shared" si="21"/>
        <v>0.60520000000000007</v>
      </c>
      <c r="T35" s="19">
        <v>92.3</v>
      </c>
      <c r="U35" s="19">
        <f t="shared" si="22"/>
        <v>-4.0131792532559614E-2</v>
      </c>
      <c r="V35" s="19">
        <f t="shared" si="23"/>
        <v>-2.3793897825401075E-2</v>
      </c>
      <c r="W35" s="19">
        <f t="shared" si="24"/>
        <v>1.0237938978254011</v>
      </c>
      <c r="X35" s="19">
        <v>-2.3E-2</v>
      </c>
      <c r="Y35" s="19">
        <v>-3.7999999999999999E-2</v>
      </c>
      <c r="Z35" s="19">
        <f t="shared" si="25"/>
        <v>3.4517296756568507</v>
      </c>
      <c r="AA35" s="48">
        <f t="shared" si="26"/>
        <v>0.16391140615216035</v>
      </c>
      <c r="AB35" s="19" t="s">
        <v>168</v>
      </c>
      <c r="AC35" s="19">
        <v>1315</v>
      </c>
      <c r="AD35" s="19">
        <v>180</v>
      </c>
      <c r="AE35" s="19">
        <v>101</v>
      </c>
      <c r="AF35" s="19">
        <v>56</v>
      </c>
      <c r="AG35" s="19">
        <v>19</v>
      </c>
      <c r="AH35" s="19">
        <v>15</v>
      </c>
      <c r="AI35" s="19">
        <v>8</v>
      </c>
      <c r="AJ35" s="19">
        <v>6</v>
      </c>
      <c r="AK35" s="19">
        <v>6</v>
      </c>
      <c r="AL35" s="19"/>
      <c r="AM35" s="19">
        <v>27</v>
      </c>
      <c r="AN35" s="19" t="s">
        <v>55</v>
      </c>
      <c r="AO35" s="19">
        <v>0</v>
      </c>
      <c r="AP35" s="19"/>
      <c r="AQ35" s="19"/>
      <c r="AR35" s="19"/>
    </row>
    <row r="36" spans="1:44" x14ac:dyDescent="0.3">
      <c r="A36" s="19" t="s">
        <v>156</v>
      </c>
      <c r="B36" s="19">
        <v>8</v>
      </c>
      <c r="C36" s="19" t="s">
        <v>53</v>
      </c>
      <c r="D36" s="19">
        <v>3</v>
      </c>
      <c r="E36" s="19">
        <v>5</v>
      </c>
      <c r="F36" s="19"/>
      <c r="G36" s="19">
        <v>30</v>
      </c>
      <c r="H36" s="19">
        <v>4</v>
      </c>
      <c r="I36" s="19">
        <v>3.87</v>
      </c>
      <c r="J36" s="19">
        <v>118</v>
      </c>
      <c r="K36" s="19">
        <f t="shared" si="18"/>
        <v>3.049095607235142E-2</v>
      </c>
      <c r="L36" s="19">
        <v>0.19</v>
      </c>
      <c r="M36" s="19">
        <f t="shared" si="19"/>
        <v>0.76</v>
      </c>
      <c r="N36" s="19">
        <v>2.61</v>
      </c>
      <c r="O36" s="19">
        <v>0.872</v>
      </c>
      <c r="P36" s="19">
        <v>0.35799999999999998</v>
      </c>
      <c r="Q36" s="19">
        <f t="shared" si="20"/>
        <v>2435754.1899441346</v>
      </c>
      <c r="R36" s="19">
        <v>0.25</v>
      </c>
      <c r="S36" s="19">
        <f t="shared" si="21"/>
        <v>0.31217600000000001</v>
      </c>
      <c r="T36" s="19">
        <v>96.8</v>
      </c>
      <c r="U36" s="19">
        <f t="shared" si="22"/>
        <v>-0.11840396830650105</v>
      </c>
      <c r="V36" s="19">
        <f t="shared" si="23"/>
        <v>-3.6697367764782406E-2</v>
      </c>
      <c r="W36" s="19">
        <f t="shared" si="24"/>
        <v>1.048286010216819</v>
      </c>
      <c r="X36" s="19">
        <v>-3.78E-2</v>
      </c>
      <c r="Y36" s="19">
        <v>-0.11899999999999999</v>
      </c>
      <c r="Z36" s="19">
        <f t="shared" si="25"/>
        <v>-2.917016495284642</v>
      </c>
      <c r="AA36" s="48">
        <f t="shared" si="26"/>
        <v>0.24536640788453373</v>
      </c>
      <c r="AB36" s="19" t="s">
        <v>167</v>
      </c>
      <c r="AC36" s="19">
        <v>830</v>
      </c>
      <c r="AD36" s="19">
        <v>170</v>
      </c>
      <c r="AE36" s="19">
        <v>103</v>
      </c>
      <c r="AF36" s="19">
        <v>34</v>
      </c>
      <c r="AG36" s="19">
        <v>25</v>
      </c>
      <c r="AH36" s="19">
        <v>11</v>
      </c>
      <c r="AI36" s="19">
        <v>8</v>
      </c>
      <c r="AJ36" s="19"/>
      <c r="AK36" s="19"/>
      <c r="AL36" s="19"/>
      <c r="AM36" s="19">
        <v>28</v>
      </c>
      <c r="AN36" s="19" t="s">
        <v>55</v>
      </c>
      <c r="AO36" s="19">
        <v>0</v>
      </c>
      <c r="AP36" s="19"/>
      <c r="AQ36" s="19"/>
      <c r="AR36" s="19"/>
    </row>
    <row r="37" spans="1:44" x14ac:dyDescent="0.3">
      <c r="A37" s="19" t="s">
        <v>156</v>
      </c>
      <c r="B37" s="19">
        <v>9</v>
      </c>
      <c r="C37" s="19" t="s">
        <v>53</v>
      </c>
      <c r="D37" s="19">
        <v>3</v>
      </c>
      <c r="E37" s="19">
        <v>5</v>
      </c>
      <c r="F37" s="19"/>
      <c r="G37" s="19">
        <v>20</v>
      </c>
      <c r="H37" s="19">
        <v>4</v>
      </c>
      <c r="I37" s="19">
        <v>3.87</v>
      </c>
      <c r="J37" s="19">
        <v>118</v>
      </c>
      <c r="K37" s="19">
        <f t="shared" si="18"/>
        <v>3.049095607235142E-2</v>
      </c>
      <c r="L37" s="19">
        <v>0.13</v>
      </c>
      <c r="M37" s="19">
        <f t="shared" si="19"/>
        <v>0.52</v>
      </c>
      <c r="N37" s="19">
        <v>1.66</v>
      </c>
      <c r="O37" s="19">
        <v>0.53600000000000003</v>
      </c>
      <c r="P37" s="19">
        <v>0.33500000000000002</v>
      </c>
      <c r="Q37" s="19">
        <f t="shared" si="20"/>
        <v>1600000</v>
      </c>
      <c r="R37" s="19">
        <v>0.11799999999999999</v>
      </c>
      <c r="S37" s="19">
        <f t="shared" si="21"/>
        <v>0.17956000000000003</v>
      </c>
      <c r="T37" s="19">
        <v>103.9</v>
      </c>
      <c r="U37" s="19">
        <f t="shared" si="22"/>
        <v>-0.24022804247726387</v>
      </c>
      <c r="V37" s="19">
        <f t="shared" si="23"/>
        <v>-4.2975090787806203E-2</v>
      </c>
      <c r="W37" s="19">
        <f t="shared" si="24"/>
        <v>1.0826444053611657</v>
      </c>
      <c r="X37" s="19">
        <v>-4.2999999999999997E-2</v>
      </c>
      <c r="Y37" s="19">
        <v>-0.24099999999999999</v>
      </c>
      <c r="Z37" s="19">
        <f t="shared" si="25"/>
        <v>-5.7928400450683329E-2</v>
      </c>
      <c r="AA37" s="48">
        <f t="shared" si="26"/>
        <v>0.39845719237686184</v>
      </c>
      <c r="AB37" s="19" t="s">
        <v>167</v>
      </c>
      <c r="AC37" s="19">
        <v>472</v>
      </c>
      <c r="AD37" s="19">
        <v>164</v>
      </c>
      <c r="AE37" s="19">
        <v>83</v>
      </c>
      <c r="AF37" s="19">
        <v>30</v>
      </c>
      <c r="AG37" s="19">
        <v>23</v>
      </c>
      <c r="AH37" s="19">
        <v>11</v>
      </c>
      <c r="AI37" s="19">
        <v>6</v>
      </c>
      <c r="AJ37" s="19"/>
      <c r="AK37" s="19"/>
      <c r="AL37" s="19"/>
      <c r="AM37" s="19">
        <v>27</v>
      </c>
      <c r="AN37" s="19" t="s">
        <v>55</v>
      </c>
      <c r="AO37" s="19">
        <v>0</v>
      </c>
      <c r="AP37" s="19"/>
      <c r="AQ37" s="19"/>
      <c r="AR37" s="19"/>
    </row>
    <row r="38" spans="1:44" x14ac:dyDescent="0.3">
      <c r="A38" s="19" t="s">
        <v>156</v>
      </c>
      <c r="B38" s="19">
        <v>10</v>
      </c>
      <c r="C38" s="19" t="s">
        <v>53</v>
      </c>
      <c r="D38" s="19">
        <v>3</v>
      </c>
      <c r="E38" s="19">
        <v>5</v>
      </c>
      <c r="F38" s="19"/>
      <c r="G38" s="19">
        <v>10</v>
      </c>
      <c r="H38" s="19">
        <v>4</v>
      </c>
      <c r="I38" s="19">
        <v>3.87</v>
      </c>
      <c r="J38" s="19">
        <v>118</v>
      </c>
      <c r="K38" s="19">
        <f t="shared" si="18"/>
        <v>3.049095607235142E-2</v>
      </c>
      <c r="L38" s="19">
        <v>0.09</v>
      </c>
      <c r="M38" s="19">
        <f t="shared" si="19"/>
        <v>0.36</v>
      </c>
      <c r="N38" s="19">
        <v>0.66500000000000004</v>
      </c>
      <c r="O38" s="19">
        <v>0.21299999999999999</v>
      </c>
      <c r="P38" s="19">
        <v>0.223</v>
      </c>
      <c r="Q38" s="19">
        <f t="shared" si="20"/>
        <v>955156.9506726457</v>
      </c>
      <c r="R38" s="19">
        <v>5.0999999999999997E-2</v>
      </c>
      <c r="S38" s="19">
        <f t="shared" si="21"/>
        <v>4.7499E-2</v>
      </c>
      <c r="T38" s="19">
        <v>135.1</v>
      </c>
      <c r="U38" s="19">
        <f t="shared" si="22"/>
        <v>-0.70833983772452869</v>
      </c>
      <c r="V38" s="19">
        <f t="shared" si="23"/>
        <v>-3.3605331158701776E-2</v>
      </c>
      <c r="W38" s="19">
        <f t="shared" si="24"/>
        <v>1.0933481421075049</v>
      </c>
      <c r="X38" s="19">
        <v>-3.3000000000000002E-2</v>
      </c>
      <c r="Y38" s="19">
        <v>-0.70799999999999996</v>
      </c>
      <c r="Z38" s="19">
        <f t="shared" si="25"/>
        <v>1.8343368445508319</v>
      </c>
      <c r="AA38" s="48">
        <f t="shared" si="26"/>
        <v>0.28621633358719645</v>
      </c>
      <c r="AB38" s="19" t="s">
        <v>167</v>
      </c>
      <c r="AC38" s="19">
        <v>195</v>
      </c>
      <c r="AD38" s="19">
        <v>44</v>
      </c>
      <c r="AE38" s="19">
        <v>21</v>
      </c>
      <c r="AF38" s="19">
        <v>19</v>
      </c>
      <c r="AG38" s="19">
        <v>13</v>
      </c>
      <c r="AH38" s="19">
        <v>12</v>
      </c>
      <c r="AI38" s="19">
        <v>8</v>
      </c>
      <c r="AJ38" s="19"/>
      <c r="AK38" s="19"/>
      <c r="AL38" s="19"/>
      <c r="AM38" s="19">
        <v>27</v>
      </c>
      <c r="AN38" s="19" t="s">
        <v>55</v>
      </c>
      <c r="AO38" s="19">
        <v>0</v>
      </c>
      <c r="AP38" s="19"/>
      <c r="AQ38" s="19"/>
      <c r="AR38" s="19"/>
    </row>
    <row r="39" spans="1:44" x14ac:dyDescent="0.3">
      <c r="A39" s="19" t="s">
        <v>156</v>
      </c>
      <c r="B39" s="19">
        <v>11</v>
      </c>
      <c r="C39" s="19" t="s">
        <v>53</v>
      </c>
      <c r="D39" s="19">
        <v>3</v>
      </c>
      <c r="E39" s="19">
        <v>5</v>
      </c>
      <c r="F39" s="19"/>
      <c r="G39" s="19">
        <v>5</v>
      </c>
      <c r="H39" s="19">
        <v>4</v>
      </c>
      <c r="I39" s="19">
        <v>3.87</v>
      </c>
      <c r="J39" s="19">
        <v>79</v>
      </c>
      <c r="K39" s="19">
        <f t="shared" si="18"/>
        <v>2.0413436692506459E-2</v>
      </c>
      <c r="L39" s="19">
        <v>7.0000000000000007E-2</v>
      </c>
      <c r="M39" s="19">
        <f t="shared" si="19"/>
        <v>0.28000000000000003</v>
      </c>
      <c r="N39" s="19">
        <v>0.313</v>
      </c>
      <c r="O39" s="19">
        <v>9.8000000000000004E-2</v>
      </c>
      <c r="P39" s="19">
        <v>0.14699999999999999</v>
      </c>
      <c r="Q39" s="19">
        <f t="shared" si="20"/>
        <v>666666.66666666674</v>
      </c>
      <c r="R39" s="19">
        <v>5.3999999999999999E-2</v>
      </c>
      <c r="S39" s="19">
        <f t="shared" si="21"/>
        <v>1.4406E-2</v>
      </c>
      <c r="T39" s="19" t="s">
        <v>78</v>
      </c>
      <c r="U39" s="19" t="str">
        <f t="shared" si="22"/>
        <v/>
      </c>
      <c r="V39" s="19" t="str">
        <f t="shared" si="23"/>
        <v/>
      </c>
      <c r="W39" s="19" t="str">
        <f t="shared" si="24"/>
        <v/>
      </c>
      <c r="X39" s="19">
        <v>-3.5000000000000003E-2</v>
      </c>
      <c r="Y39" s="19">
        <v>-2.2000000000000002</v>
      </c>
      <c r="Z39" s="19" t="str">
        <f t="shared" si="25"/>
        <v/>
      </c>
      <c r="AA39" s="48">
        <f t="shared" si="26"/>
        <v>0.34084137000395481</v>
      </c>
      <c r="AB39" s="19" t="s">
        <v>167</v>
      </c>
      <c r="AC39" s="19">
        <v>90</v>
      </c>
      <c r="AD39" s="19">
        <v>24</v>
      </c>
      <c r="AE39" s="19">
        <v>12</v>
      </c>
      <c r="AF39" s="19">
        <v>11</v>
      </c>
      <c r="AG39" s="19">
        <v>8</v>
      </c>
      <c r="AH39" s="19">
        <v>6</v>
      </c>
      <c r="AI39" s="19"/>
      <c r="AJ39" s="19"/>
      <c r="AK39" s="19"/>
      <c r="AL39" s="19"/>
      <c r="AM39" s="19">
        <v>26</v>
      </c>
      <c r="AN39" s="19" t="s">
        <v>55</v>
      </c>
      <c r="AO39" s="19">
        <v>0</v>
      </c>
      <c r="AP39" s="19"/>
      <c r="AQ39" s="19"/>
      <c r="AR39" s="19"/>
    </row>
    <row r="40" spans="1:44" ht="18" customHeight="1" x14ac:dyDescent="0.3">
      <c r="A40" s="62" t="s">
        <v>212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</row>
    <row r="41" spans="1:44" x14ac:dyDescent="0.3">
      <c r="A41" s="19" t="s">
        <v>158</v>
      </c>
      <c r="B41" s="19">
        <v>1</v>
      </c>
      <c r="C41" s="19" t="s">
        <v>68</v>
      </c>
      <c r="D41" s="19">
        <v>3</v>
      </c>
      <c r="E41" s="19">
        <v>5</v>
      </c>
      <c r="F41" s="19">
        <v>1</v>
      </c>
      <c r="G41" s="19">
        <v>10</v>
      </c>
      <c r="H41" s="19">
        <v>15</v>
      </c>
      <c r="I41" s="19">
        <v>14.9</v>
      </c>
      <c r="J41" s="19">
        <v>633</v>
      </c>
      <c r="K41" s="19">
        <f t="shared" ref="K41:K46" si="27">IF(COUNT(J41,I41)=0,"",IFERROR(J41/1000/I41,""))</f>
        <v>4.2483221476510069E-2</v>
      </c>
      <c r="L41" s="19">
        <v>0.14000000000000001</v>
      </c>
      <c r="M41" s="19">
        <f t="shared" ref="M41:M46" si="28">IF(COUNT(H41,L41)=0,"",IFERROR(H41*L41,""))</f>
        <v>2.1</v>
      </c>
      <c r="N41" s="19">
        <v>6.79</v>
      </c>
      <c r="O41" s="19">
        <v>1.07</v>
      </c>
      <c r="P41" s="19">
        <v>0.64800000000000002</v>
      </c>
      <c r="Q41" s="19">
        <f t="shared" ref="Q41:Q46" si="29">IF(COUNT(O41,P41)=0,"",IFERROR(O41*1000/P41*1000,""))</f>
        <v>1651234.5679012344</v>
      </c>
      <c r="R41" s="19">
        <v>0.54200000000000004</v>
      </c>
      <c r="S41" s="19">
        <f t="shared" ref="S41:S46" si="30">IF(COUNT(O41,P41)=0,"",IFERROR(O41*P41,""))</f>
        <v>0.69336000000000009</v>
      </c>
      <c r="T41" s="19">
        <v>82.4</v>
      </c>
      <c r="U41" s="19">
        <f t="shared" ref="U41:U46" si="31">IF(COUNT(T41)=0,"",IFERROR(COS(T41/180*PI()),""))</f>
        <v>0.13225639025712246</v>
      </c>
      <c r="V41" s="19">
        <f t="shared" ref="V41:V46" si="32">IF(COUNT(S41,T41)=0,"",IFERROR(S41*COS(T41/360*2*3.14),""))</f>
        <v>9.2202341542044694E-2</v>
      </c>
      <c r="W41" s="19">
        <f t="shared" ref="W41:W46" si="33">IF(COUNT(V41,M41)=0,"",IFERROR(1-V41/M41,""))</f>
        <v>0.9560941230752168</v>
      </c>
      <c r="X41" s="19">
        <v>9.2799999999999994E-2</v>
      </c>
      <c r="Y41" s="19">
        <v>0.129</v>
      </c>
      <c r="Z41" s="19">
        <f t="shared" ref="Z41:Z46" si="34">IFERROR(IF(OR(V41="",X41="",X41=0),"",(V41-X41)/X41*100),"")</f>
        <v>-0.64402851072769363</v>
      </c>
      <c r="AA41" s="48" t="str">
        <f t="shared" ref="AA41:AA46" si="35">IF(COUNT(AD41,AE41,AF41,AG41,AH41,AI41,AJ41,AK41,AL41,AC41)=0,"",IFERROR(SQRT(AD41^2+AE41^2+AF41^2+AG41^2+AH41^2+AI41^2+AJ41^2+AK41^2+AL41^2)/AC41,""))</f>
        <v/>
      </c>
      <c r="AB41" s="19" t="s">
        <v>213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>
        <v>28</v>
      </c>
      <c r="AN41" s="19" t="s">
        <v>160</v>
      </c>
      <c r="AO41" s="19">
        <v>1</v>
      </c>
      <c r="AP41" s="19"/>
      <c r="AQ41" s="19"/>
      <c r="AR41" s="19" t="s">
        <v>214</v>
      </c>
    </row>
    <row r="42" spans="1:44" x14ac:dyDescent="0.3">
      <c r="A42" s="19" t="s">
        <v>158</v>
      </c>
      <c r="B42" s="19">
        <v>2</v>
      </c>
      <c r="C42" s="19" t="s">
        <v>68</v>
      </c>
      <c r="D42" s="19">
        <v>3</v>
      </c>
      <c r="E42" s="19">
        <v>5</v>
      </c>
      <c r="F42" s="19">
        <v>1</v>
      </c>
      <c r="G42" s="19">
        <v>25</v>
      </c>
      <c r="H42" s="19">
        <v>15</v>
      </c>
      <c r="I42" s="19">
        <v>14.91</v>
      </c>
      <c r="J42" s="19"/>
      <c r="K42" s="19">
        <f t="shared" si="27"/>
        <v>0</v>
      </c>
      <c r="L42" s="19">
        <v>0.36</v>
      </c>
      <c r="M42" s="19">
        <f t="shared" si="28"/>
        <v>5.3999999999999995</v>
      </c>
      <c r="N42" s="19">
        <v>8.1</v>
      </c>
      <c r="O42" s="19">
        <v>1.07</v>
      </c>
      <c r="P42" s="19">
        <v>1.87</v>
      </c>
      <c r="Q42" s="19">
        <f t="shared" si="29"/>
        <v>572192.51336898387</v>
      </c>
      <c r="R42" s="19">
        <v>4.3099999999999996</v>
      </c>
      <c r="S42" s="19">
        <f t="shared" si="30"/>
        <v>2.0009000000000001</v>
      </c>
      <c r="T42" s="19">
        <v>95.9</v>
      </c>
      <c r="U42" s="19">
        <f t="shared" si="31"/>
        <v>-0.10279253678724679</v>
      </c>
      <c r="V42" s="19">
        <f t="shared" si="32"/>
        <v>-0.2039886821450457</v>
      </c>
      <c r="W42" s="19">
        <f t="shared" si="33"/>
        <v>1.0377756818787123</v>
      </c>
      <c r="X42" s="19">
        <v>-0.39900000000000002</v>
      </c>
      <c r="Y42" s="19">
        <v>-8.5000000000000006E-2</v>
      </c>
      <c r="Z42" s="19">
        <f t="shared" si="34"/>
        <v>-48.875017006254211</v>
      </c>
      <c r="AA42" s="48" t="str">
        <f t="shared" si="35"/>
        <v/>
      </c>
      <c r="AB42" s="19" t="s">
        <v>213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>
        <v>43</v>
      </c>
      <c r="AN42" s="19" t="s">
        <v>160</v>
      </c>
      <c r="AO42" s="19">
        <v>1</v>
      </c>
      <c r="AP42" s="19"/>
      <c r="AQ42" s="19"/>
      <c r="AR42" s="19" t="s">
        <v>215</v>
      </c>
    </row>
    <row r="43" spans="1:44" x14ac:dyDescent="0.3">
      <c r="A43" s="19" t="s">
        <v>158</v>
      </c>
      <c r="B43" s="19">
        <v>3</v>
      </c>
      <c r="C43" s="19" t="s">
        <v>68</v>
      </c>
      <c r="D43" s="19">
        <v>3</v>
      </c>
      <c r="E43" s="19">
        <v>5</v>
      </c>
      <c r="F43" s="19">
        <v>1</v>
      </c>
      <c r="G43" s="19">
        <v>10</v>
      </c>
      <c r="H43" s="19">
        <v>10</v>
      </c>
      <c r="I43" s="19">
        <v>9.36</v>
      </c>
      <c r="J43" s="19">
        <v>1994</v>
      </c>
      <c r="K43" s="19">
        <f t="shared" si="27"/>
        <v>0.21303418803418805</v>
      </c>
      <c r="L43" s="19">
        <v>0.25</v>
      </c>
      <c r="M43" s="19">
        <f t="shared" si="28"/>
        <v>2.5</v>
      </c>
      <c r="N43" s="19">
        <v>6.63</v>
      </c>
      <c r="O43" s="19">
        <v>1.25</v>
      </c>
      <c r="P43" s="19">
        <v>1.89</v>
      </c>
      <c r="Q43" s="19">
        <f t="shared" si="29"/>
        <v>661375.66137566138</v>
      </c>
      <c r="R43" s="19">
        <v>2.37</v>
      </c>
      <c r="S43" s="19">
        <f t="shared" si="30"/>
        <v>2.3624999999999998</v>
      </c>
      <c r="T43" s="19">
        <v>102</v>
      </c>
      <c r="U43" s="19">
        <f t="shared" si="31"/>
        <v>-0.20791169081775912</v>
      </c>
      <c r="V43" s="19">
        <f t="shared" si="32"/>
        <v>-0.48910559772663031</v>
      </c>
      <c r="W43" s="19">
        <f t="shared" si="33"/>
        <v>1.195642239090652</v>
      </c>
      <c r="X43" s="19">
        <v>-0.48499999999999999</v>
      </c>
      <c r="Y43" s="19">
        <v>-0.216</v>
      </c>
      <c r="Z43" s="19">
        <f t="shared" si="34"/>
        <v>0.84651499518151097</v>
      </c>
      <c r="AA43" s="48" t="str">
        <f t="shared" si="35"/>
        <v/>
      </c>
      <c r="AB43" s="19" t="s">
        <v>213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>
        <v>32</v>
      </c>
      <c r="AN43" s="19" t="s">
        <v>55</v>
      </c>
      <c r="AO43" s="19">
        <v>1</v>
      </c>
      <c r="AP43" s="19"/>
      <c r="AQ43" s="19"/>
      <c r="AR43" s="19" t="s">
        <v>211</v>
      </c>
    </row>
    <row r="44" spans="1:44" x14ac:dyDescent="0.3">
      <c r="A44" s="19" t="s">
        <v>158</v>
      </c>
      <c r="B44" s="19">
        <v>4</v>
      </c>
      <c r="C44" s="19" t="s">
        <v>68</v>
      </c>
      <c r="D44" s="19">
        <v>3</v>
      </c>
      <c r="E44" s="19">
        <v>5</v>
      </c>
      <c r="F44" s="19">
        <v>1</v>
      </c>
      <c r="G44" s="19">
        <v>25</v>
      </c>
      <c r="H44" s="19">
        <v>10</v>
      </c>
      <c r="I44" s="19">
        <v>9.35</v>
      </c>
      <c r="J44" s="19">
        <v>1994</v>
      </c>
      <c r="K44" s="19">
        <f t="shared" si="27"/>
        <v>0.21326203208556149</v>
      </c>
      <c r="L44" s="19">
        <v>0.28000000000000003</v>
      </c>
      <c r="M44" s="19">
        <f t="shared" si="28"/>
        <v>2.8000000000000003</v>
      </c>
      <c r="N44" s="19">
        <v>6.95</v>
      </c>
      <c r="O44" s="19">
        <v>1.31</v>
      </c>
      <c r="P44" s="19">
        <v>1.93</v>
      </c>
      <c r="Q44" s="19">
        <f t="shared" si="29"/>
        <v>678756.47668393783</v>
      </c>
      <c r="R44" s="19">
        <v>2.48</v>
      </c>
      <c r="S44" s="19">
        <f t="shared" si="30"/>
        <v>2.5283000000000002</v>
      </c>
      <c r="T44" s="19">
        <v>101.5</v>
      </c>
      <c r="U44" s="19">
        <f t="shared" si="31"/>
        <v>-0.19936793441719705</v>
      </c>
      <c r="V44" s="19">
        <f t="shared" si="32"/>
        <v>-0.50183671406201447</v>
      </c>
      <c r="W44" s="19">
        <f t="shared" si="33"/>
        <v>1.1792273978792909</v>
      </c>
      <c r="X44" s="19">
        <v>-0.501</v>
      </c>
      <c r="Y44" s="19">
        <v>-0.20300000000000001</v>
      </c>
      <c r="Z44" s="19">
        <f t="shared" si="34"/>
        <v>0.16700879481326653</v>
      </c>
      <c r="AA44" s="48" t="str">
        <f t="shared" si="35"/>
        <v/>
      </c>
      <c r="AB44" s="19" t="s">
        <v>213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>
        <v>33</v>
      </c>
      <c r="AN44" s="19" t="s">
        <v>55</v>
      </c>
      <c r="AO44" s="19">
        <v>1</v>
      </c>
      <c r="AP44" s="19"/>
      <c r="AQ44" s="19"/>
      <c r="AR44" s="19" t="s">
        <v>211</v>
      </c>
    </row>
    <row r="45" spans="1:44" x14ac:dyDescent="0.3">
      <c r="A45" s="19" t="s">
        <v>158</v>
      </c>
      <c r="B45" s="19">
        <v>5</v>
      </c>
      <c r="C45" s="19" t="s">
        <v>68</v>
      </c>
      <c r="D45" s="19">
        <v>3</v>
      </c>
      <c r="E45" s="19">
        <v>5</v>
      </c>
      <c r="F45" s="19">
        <v>1</v>
      </c>
      <c r="G45" s="19">
        <v>40</v>
      </c>
      <c r="H45" s="19">
        <v>10</v>
      </c>
      <c r="I45" s="19">
        <v>9.34</v>
      </c>
      <c r="J45" s="19">
        <v>2791</v>
      </c>
      <c r="K45" s="19">
        <f t="shared" si="27"/>
        <v>0.29882226980728049</v>
      </c>
      <c r="L45" s="19">
        <v>0.54</v>
      </c>
      <c r="M45" s="19">
        <f t="shared" si="28"/>
        <v>5.4</v>
      </c>
      <c r="N45" s="19">
        <v>8.2899999999999991</v>
      </c>
      <c r="O45" s="19">
        <v>1.83</v>
      </c>
      <c r="P45" s="19">
        <v>2.19</v>
      </c>
      <c r="Q45" s="19">
        <f t="shared" si="29"/>
        <v>835616.43835616438</v>
      </c>
      <c r="R45" s="19">
        <v>3.92</v>
      </c>
      <c r="S45" s="19">
        <f t="shared" si="30"/>
        <v>4.0076999999999998</v>
      </c>
      <c r="T45" s="19">
        <v>94.8</v>
      </c>
      <c r="U45" s="19">
        <f t="shared" si="31"/>
        <v>-8.367784333231533E-2</v>
      </c>
      <c r="V45" s="19">
        <f t="shared" si="32"/>
        <v>-0.33200571594647693</v>
      </c>
      <c r="W45" s="19">
        <f t="shared" si="33"/>
        <v>1.0614825399900882</v>
      </c>
      <c r="X45" s="19">
        <v>-0.35099999999999998</v>
      </c>
      <c r="Y45" s="19">
        <v>-8.3000000000000004E-2</v>
      </c>
      <c r="Z45" s="19">
        <f t="shared" si="34"/>
        <v>-5.4114769383256549</v>
      </c>
      <c r="AA45" s="48" t="str">
        <f t="shared" si="35"/>
        <v/>
      </c>
      <c r="AB45" s="19" t="s">
        <v>213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>
        <v>37</v>
      </c>
      <c r="AN45" s="19" t="s">
        <v>55</v>
      </c>
      <c r="AO45" s="19">
        <v>1</v>
      </c>
      <c r="AP45" s="19"/>
      <c r="AQ45" s="19"/>
      <c r="AR45" s="19" t="s">
        <v>216</v>
      </c>
    </row>
    <row r="46" spans="1:44" x14ac:dyDescent="0.3">
      <c r="A46" s="19" t="s">
        <v>158</v>
      </c>
      <c r="B46" s="19">
        <v>6</v>
      </c>
      <c r="C46" s="19" t="s">
        <v>68</v>
      </c>
      <c r="D46" s="19">
        <v>3</v>
      </c>
      <c r="E46" s="19">
        <v>5</v>
      </c>
      <c r="F46" s="19">
        <v>1</v>
      </c>
      <c r="G46" s="19">
        <v>50</v>
      </c>
      <c r="H46" s="19">
        <v>10</v>
      </c>
      <c r="I46" s="19">
        <v>9.35</v>
      </c>
      <c r="J46" s="19">
        <v>4000</v>
      </c>
      <c r="K46" s="19">
        <f t="shared" si="27"/>
        <v>0.42780748663101603</v>
      </c>
      <c r="L46" s="19">
        <v>1.1200000000000001</v>
      </c>
      <c r="M46" s="19">
        <f t="shared" si="28"/>
        <v>11.200000000000001</v>
      </c>
      <c r="N46" s="19">
        <v>10.38</v>
      </c>
      <c r="O46" s="19">
        <v>2.67</v>
      </c>
      <c r="P46" s="19">
        <v>3.47</v>
      </c>
      <c r="Q46" s="19">
        <f t="shared" si="29"/>
        <v>769452.44956772332</v>
      </c>
      <c r="R46" s="19">
        <v>9.1300000000000008</v>
      </c>
      <c r="S46" s="19">
        <f t="shared" si="30"/>
        <v>9.2649000000000008</v>
      </c>
      <c r="T46" s="19">
        <v>97.9</v>
      </c>
      <c r="U46" s="19">
        <f t="shared" si="31"/>
        <v>-0.13744454603714645</v>
      </c>
      <c r="V46" s="19">
        <f t="shared" si="32"/>
        <v>-1.2654601614058418</v>
      </c>
      <c r="W46" s="19">
        <f t="shared" si="33"/>
        <v>1.1129875144112358</v>
      </c>
      <c r="X46" s="19">
        <v>-1.26</v>
      </c>
      <c r="Y46" s="19">
        <v>-0.13600000000000001</v>
      </c>
      <c r="Z46" s="19">
        <f t="shared" si="34"/>
        <v>0.43334614332077964</v>
      </c>
      <c r="AA46" s="48" t="str">
        <f t="shared" si="35"/>
        <v/>
      </c>
      <c r="AB46" s="19" t="s">
        <v>213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>
        <v>42</v>
      </c>
      <c r="AN46" s="19" t="s">
        <v>160</v>
      </c>
      <c r="AO46" s="19">
        <v>1</v>
      </c>
      <c r="AP46" s="19"/>
      <c r="AQ46" s="19"/>
      <c r="AR46" s="19" t="s">
        <v>217</v>
      </c>
    </row>
  </sheetData>
  <mergeCells count="12">
    <mergeCell ref="A1:AR1"/>
    <mergeCell ref="N2:Q2"/>
    <mergeCell ref="A40:AR40"/>
    <mergeCell ref="A4:AR4"/>
    <mergeCell ref="A16:AR16"/>
    <mergeCell ref="AQ2:AR2"/>
    <mergeCell ref="R2:Z2"/>
    <mergeCell ref="AA2:AL2"/>
    <mergeCell ref="A28:AR28"/>
    <mergeCell ref="A2:H2"/>
    <mergeCell ref="I2:M2"/>
    <mergeCell ref="AM2:A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J86"/>
  <sheetViews>
    <sheetView showGridLines="0" workbookViewId="0">
      <pane ySplit="2" topLeftCell="A55" activePane="bottomLeft" state="frozen"/>
      <selection pane="bottomLeft" activeCell="B76" sqref="B76"/>
    </sheetView>
  </sheetViews>
  <sheetFormatPr baseColWidth="10" defaultColWidth="8.88671875" defaultRowHeight="14.4" x14ac:dyDescent="0.3"/>
  <cols>
    <col min="1" max="1" width="12" customWidth="1"/>
    <col min="2" max="2" width="17.88671875" customWidth="1"/>
    <col min="3" max="4" width="14" customWidth="1"/>
    <col min="5" max="5" width="30" customWidth="1"/>
  </cols>
  <sheetData>
    <row r="1" spans="1:10" ht="18" customHeight="1" x14ac:dyDescent="0.3">
      <c r="A1" s="24" t="s">
        <v>218</v>
      </c>
      <c r="B1" s="25"/>
      <c r="C1" s="25"/>
      <c r="D1" s="25"/>
      <c r="E1" s="25"/>
      <c r="F1" s="26"/>
      <c r="G1" s="26"/>
      <c r="H1" s="26"/>
      <c r="I1" s="26"/>
      <c r="J1" s="26"/>
    </row>
    <row r="2" spans="1:10" ht="28.95" customHeight="1" x14ac:dyDescent="0.3">
      <c r="A2" s="27" t="s">
        <v>219</v>
      </c>
      <c r="B2" s="28" t="s">
        <v>0</v>
      </c>
      <c r="C2" s="28" t="s">
        <v>1</v>
      </c>
      <c r="D2" s="28" t="s">
        <v>220</v>
      </c>
      <c r="E2" s="29" t="s">
        <v>2</v>
      </c>
      <c r="F2" s="30" t="s">
        <v>139</v>
      </c>
      <c r="G2" s="30" t="s">
        <v>3</v>
      </c>
      <c r="H2" s="31" t="s">
        <v>4</v>
      </c>
      <c r="I2" s="31" t="s">
        <v>5</v>
      </c>
      <c r="J2" s="31" t="s">
        <v>6</v>
      </c>
    </row>
    <row r="3" spans="1:10" x14ac:dyDescent="0.3">
      <c r="A3" s="21">
        <v>0</v>
      </c>
      <c r="B3" s="21">
        <v>27.7</v>
      </c>
      <c r="C3" s="21">
        <v>25</v>
      </c>
      <c r="D3" s="21">
        <v>25</v>
      </c>
      <c r="E3" s="21"/>
      <c r="F3" s="22"/>
      <c r="G3" s="22"/>
      <c r="H3" s="22"/>
      <c r="I3" s="22"/>
      <c r="J3" s="22"/>
    </row>
    <row r="4" spans="1:10" x14ac:dyDescent="0.3">
      <c r="A4" s="21">
        <v>1</v>
      </c>
      <c r="B4" s="21">
        <v>27.5</v>
      </c>
      <c r="C4" s="21">
        <v>49</v>
      </c>
      <c r="D4" s="21">
        <v>25</v>
      </c>
      <c r="E4" s="21"/>
      <c r="F4" s="22"/>
      <c r="G4" s="22"/>
      <c r="H4" s="22"/>
      <c r="I4" s="22"/>
      <c r="J4" s="22"/>
    </row>
    <row r="5" spans="1:10" x14ac:dyDescent="0.3">
      <c r="A5" s="21">
        <v>2</v>
      </c>
      <c r="B5" s="21">
        <v>28.5</v>
      </c>
      <c r="C5" s="21">
        <v>55</v>
      </c>
      <c r="D5" s="21">
        <v>25</v>
      </c>
      <c r="E5" s="21"/>
      <c r="F5" s="22"/>
      <c r="G5" s="22"/>
      <c r="H5" s="22"/>
      <c r="I5" s="22"/>
      <c r="J5" s="22"/>
    </row>
    <row r="6" spans="1:10" x14ac:dyDescent="0.3">
      <c r="A6" s="21">
        <v>3</v>
      </c>
      <c r="B6" s="21">
        <v>28.9</v>
      </c>
      <c r="C6" s="21">
        <v>57</v>
      </c>
      <c r="D6" s="21">
        <v>25</v>
      </c>
      <c r="E6" s="21"/>
      <c r="F6" s="22"/>
      <c r="G6" s="22"/>
      <c r="H6" s="22"/>
      <c r="I6" s="22"/>
      <c r="J6" s="22"/>
    </row>
    <row r="7" spans="1:10" x14ac:dyDescent="0.3">
      <c r="A7" s="21">
        <v>4</v>
      </c>
      <c r="B7" s="21">
        <v>30.1</v>
      </c>
      <c r="C7" s="21">
        <v>58</v>
      </c>
      <c r="D7" s="21">
        <v>25</v>
      </c>
      <c r="E7" s="21"/>
      <c r="F7" s="22"/>
      <c r="G7" s="22"/>
      <c r="H7" s="22"/>
      <c r="I7" s="22"/>
      <c r="J7" s="22"/>
    </row>
    <row r="8" spans="1:10" x14ac:dyDescent="0.3">
      <c r="A8" s="21">
        <v>5</v>
      </c>
      <c r="B8" s="21">
        <v>30.6</v>
      </c>
      <c r="C8" s="21">
        <v>57</v>
      </c>
      <c r="D8" s="21">
        <v>25</v>
      </c>
      <c r="E8" s="21"/>
      <c r="F8" s="22"/>
      <c r="G8" s="22"/>
      <c r="H8" s="22"/>
      <c r="I8" s="22"/>
      <c r="J8" s="22"/>
    </row>
    <row r="9" spans="1:10" x14ac:dyDescent="0.3">
      <c r="A9" s="21">
        <v>6</v>
      </c>
      <c r="B9" s="21">
        <v>31.1</v>
      </c>
      <c r="C9" s="21">
        <v>56</v>
      </c>
      <c r="D9" s="21">
        <v>25</v>
      </c>
      <c r="E9" s="21"/>
      <c r="F9" s="22"/>
      <c r="G9" s="22"/>
      <c r="H9" s="22"/>
      <c r="I9" s="22"/>
      <c r="J9" s="22"/>
    </row>
    <row r="10" spans="1:10" x14ac:dyDescent="0.3">
      <c r="A10" s="21">
        <v>7</v>
      </c>
      <c r="B10" s="21">
        <v>31.4</v>
      </c>
      <c r="C10" s="21">
        <v>55</v>
      </c>
      <c r="D10" s="21">
        <v>25</v>
      </c>
      <c r="E10" s="21"/>
      <c r="F10" s="22"/>
      <c r="G10" s="22"/>
      <c r="H10" s="22"/>
      <c r="I10" s="22"/>
      <c r="J10" s="22"/>
    </row>
    <row r="11" spans="1:10" x14ac:dyDescent="0.3">
      <c r="A11" s="21">
        <v>8</v>
      </c>
      <c r="B11" s="21">
        <v>32.299999999999997</v>
      </c>
      <c r="C11" s="21">
        <v>54</v>
      </c>
      <c r="D11" s="21">
        <v>25</v>
      </c>
      <c r="E11" s="21"/>
      <c r="F11" s="22"/>
      <c r="G11" s="22"/>
      <c r="H11" s="22"/>
      <c r="I11" s="22"/>
      <c r="J11" s="22"/>
    </row>
    <row r="12" spans="1:10" x14ac:dyDescent="0.3">
      <c r="A12" s="21">
        <v>9</v>
      </c>
      <c r="B12" s="21">
        <v>32.799999999999997</v>
      </c>
      <c r="C12" s="21">
        <v>54</v>
      </c>
      <c r="D12" s="21">
        <v>25</v>
      </c>
      <c r="E12" s="21"/>
      <c r="F12" s="22"/>
      <c r="G12" s="22"/>
      <c r="H12" s="22"/>
      <c r="I12" s="22"/>
      <c r="J12" s="22"/>
    </row>
    <row r="13" spans="1:10" x14ac:dyDescent="0.3">
      <c r="A13" s="21">
        <v>10</v>
      </c>
      <c r="B13" s="21">
        <v>33.4</v>
      </c>
      <c r="C13" s="21">
        <v>54</v>
      </c>
      <c r="D13" s="21">
        <v>25</v>
      </c>
      <c r="E13" s="21"/>
      <c r="F13" s="22"/>
      <c r="G13" s="22"/>
      <c r="H13" s="22"/>
      <c r="I13" s="22"/>
      <c r="J13" s="22"/>
    </row>
    <row r="14" spans="1:10" x14ac:dyDescent="0.3">
      <c r="A14" s="21">
        <v>11</v>
      </c>
      <c r="B14" s="21">
        <v>33.299999999999997</v>
      </c>
      <c r="C14" s="21">
        <v>54</v>
      </c>
      <c r="D14" s="21">
        <v>25</v>
      </c>
      <c r="E14" s="21"/>
      <c r="F14" s="22"/>
      <c r="G14" s="22"/>
      <c r="H14" s="22"/>
      <c r="I14" s="22"/>
      <c r="J14" s="22"/>
    </row>
    <row r="15" spans="1:10" x14ac:dyDescent="0.3">
      <c r="A15" s="21">
        <v>12</v>
      </c>
      <c r="B15" s="21">
        <v>33.799999999999997</v>
      </c>
      <c r="C15" s="21">
        <v>54</v>
      </c>
      <c r="D15" s="21">
        <v>25</v>
      </c>
      <c r="E15" s="21"/>
      <c r="F15" s="22"/>
      <c r="G15" s="22"/>
      <c r="H15" s="22"/>
      <c r="I15" s="22"/>
      <c r="J15" s="22"/>
    </row>
    <row r="16" spans="1:10" x14ac:dyDescent="0.3">
      <c r="A16" s="21">
        <v>13</v>
      </c>
      <c r="B16" s="21">
        <v>34.4</v>
      </c>
      <c r="C16" s="21">
        <v>54</v>
      </c>
      <c r="D16" s="21">
        <v>25</v>
      </c>
      <c r="E16" s="21"/>
      <c r="F16" s="22"/>
      <c r="G16" s="22"/>
      <c r="H16" s="22"/>
      <c r="I16" s="22"/>
      <c r="J16" s="22"/>
    </row>
    <row r="17" spans="1:10" x14ac:dyDescent="0.3">
      <c r="A17" s="21">
        <v>14</v>
      </c>
      <c r="B17" s="21">
        <v>34.4</v>
      </c>
      <c r="C17" s="21">
        <v>55</v>
      </c>
      <c r="D17" s="21">
        <v>25</v>
      </c>
      <c r="E17" s="21"/>
      <c r="F17" s="22"/>
      <c r="G17" s="22"/>
      <c r="H17" s="22"/>
      <c r="I17" s="22"/>
      <c r="J17" s="22"/>
    </row>
    <row r="18" spans="1:10" x14ac:dyDescent="0.3">
      <c r="A18" s="21">
        <v>15</v>
      </c>
      <c r="B18" s="21">
        <v>34.9</v>
      </c>
      <c r="C18" s="21">
        <v>55</v>
      </c>
      <c r="D18" s="21">
        <v>25</v>
      </c>
      <c r="E18" s="21"/>
      <c r="F18" s="22"/>
      <c r="G18" s="22"/>
      <c r="H18" s="22"/>
      <c r="I18" s="22"/>
      <c r="J18" s="22"/>
    </row>
    <row r="20" spans="1:10" x14ac:dyDescent="0.3">
      <c r="A20" s="3" t="s">
        <v>221</v>
      </c>
      <c r="D20" s="3" t="s">
        <v>222</v>
      </c>
      <c r="E20" s="10"/>
      <c r="F20" s="3" t="s">
        <v>223</v>
      </c>
      <c r="G20" s="10"/>
      <c r="H20" s="3" t="s">
        <v>224</v>
      </c>
      <c r="I20" s="10"/>
    </row>
    <row r="21" spans="1:10" x14ac:dyDescent="0.3">
      <c r="A21" t="s">
        <v>7</v>
      </c>
    </row>
    <row r="22" spans="1:10" x14ac:dyDescent="0.3">
      <c r="A22" t="s">
        <v>8</v>
      </c>
      <c r="B22" t="s">
        <v>225</v>
      </c>
    </row>
    <row r="23" spans="1:10" x14ac:dyDescent="0.3">
      <c r="A23" t="s">
        <v>9</v>
      </c>
    </row>
    <row r="24" spans="1:10" x14ac:dyDescent="0.3">
      <c r="A24" t="s">
        <v>226</v>
      </c>
    </row>
    <row r="25" spans="1:10" x14ac:dyDescent="0.3">
      <c r="A25" t="s">
        <v>10</v>
      </c>
    </row>
    <row r="28" spans="1:10" x14ac:dyDescent="0.3">
      <c r="A28" s="3" t="s">
        <v>227</v>
      </c>
      <c r="B28" t="s">
        <v>11</v>
      </c>
    </row>
    <row r="29" spans="1:10" x14ac:dyDescent="0.3">
      <c r="A29" s="3" t="s">
        <v>228</v>
      </c>
      <c r="B29" t="s">
        <v>12</v>
      </c>
    </row>
    <row r="31" spans="1:10" ht="18" customHeight="1" x14ac:dyDescent="0.3">
      <c r="A31" s="32" t="s">
        <v>229</v>
      </c>
      <c r="B31" s="33"/>
      <c r="C31" s="33"/>
      <c r="D31" s="33"/>
      <c r="E31" s="33"/>
      <c r="F31" s="33"/>
      <c r="G31" s="33"/>
      <c r="H31" s="33"/>
      <c r="I31" s="33"/>
      <c r="J31" s="33"/>
    </row>
    <row r="32" spans="1:10" ht="36" customHeight="1" x14ac:dyDescent="0.3">
      <c r="A32" s="27" t="s">
        <v>219</v>
      </c>
      <c r="B32" s="28" t="s">
        <v>0</v>
      </c>
      <c r="C32" s="28" t="s">
        <v>1</v>
      </c>
      <c r="D32" s="28" t="s">
        <v>220</v>
      </c>
      <c r="E32" s="29" t="s">
        <v>2</v>
      </c>
      <c r="F32" s="30" t="s">
        <v>139</v>
      </c>
      <c r="G32" s="30" t="s">
        <v>3</v>
      </c>
      <c r="H32" s="31" t="s">
        <v>4</v>
      </c>
      <c r="I32" s="31" t="s">
        <v>5</v>
      </c>
      <c r="J32" s="31" t="s">
        <v>6</v>
      </c>
    </row>
    <row r="33" spans="1:10" x14ac:dyDescent="0.3">
      <c r="A33" s="22">
        <v>0</v>
      </c>
      <c r="B33">
        <v>30.2</v>
      </c>
      <c r="C33">
        <v>28</v>
      </c>
      <c r="D33" s="22">
        <f t="shared" ref="D33:D48" si="0">$G$49</f>
        <v>27</v>
      </c>
      <c r="E33" s="22"/>
    </row>
    <row r="34" spans="1:10" x14ac:dyDescent="0.3">
      <c r="A34" s="22">
        <v>1</v>
      </c>
      <c r="B34" s="22">
        <v>31.2</v>
      </c>
      <c r="C34" s="22">
        <v>36</v>
      </c>
      <c r="D34" s="22">
        <f t="shared" si="0"/>
        <v>27</v>
      </c>
      <c r="E34" s="22"/>
      <c r="F34" s="22">
        <v>7.26</v>
      </c>
      <c r="G34" s="22">
        <v>1.72</v>
      </c>
      <c r="H34" s="22">
        <v>79.5</v>
      </c>
      <c r="I34" s="22">
        <v>0.88500000000000001</v>
      </c>
      <c r="J34" s="22">
        <f>6.3*1.2</f>
        <v>7.56</v>
      </c>
    </row>
    <row r="35" spans="1:10" x14ac:dyDescent="0.3">
      <c r="A35" s="22">
        <v>2</v>
      </c>
      <c r="B35" s="22">
        <v>31.1</v>
      </c>
      <c r="C35" s="22">
        <v>43</v>
      </c>
      <c r="D35" s="22">
        <f t="shared" si="0"/>
        <v>27</v>
      </c>
      <c r="E35" s="22"/>
      <c r="F35" s="22">
        <v>7.89</v>
      </c>
      <c r="G35" s="22">
        <v>2.0099999999999998</v>
      </c>
      <c r="H35" s="22">
        <v>79.5</v>
      </c>
      <c r="I35" s="22">
        <v>1.08</v>
      </c>
      <c r="J35" s="22">
        <f>6.3*1.4</f>
        <v>8.8199999999999985</v>
      </c>
    </row>
    <row r="36" spans="1:10" x14ac:dyDescent="0.3">
      <c r="A36" s="22">
        <v>3</v>
      </c>
      <c r="B36" s="22">
        <v>31</v>
      </c>
      <c r="C36" s="22">
        <v>46</v>
      </c>
      <c r="D36" s="22">
        <f t="shared" si="0"/>
        <v>27</v>
      </c>
      <c r="E36" s="22"/>
      <c r="F36" s="22">
        <v>8.0500000000000007</v>
      </c>
      <c r="G36" s="22">
        <v>2.12</v>
      </c>
      <c r="H36" s="22">
        <v>79.7</v>
      </c>
      <c r="I36" s="22">
        <v>1.1399999999999999</v>
      </c>
      <c r="J36" s="22">
        <f>6.3*1.5</f>
        <v>9.4499999999999993</v>
      </c>
    </row>
    <row r="37" spans="1:10" x14ac:dyDescent="0.3">
      <c r="A37" s="22">
        <v>4</v>
      </c>
      <c r="B37" s="22">
        <v>31</v>
      </c>
      <c r="C37" s="22">
        <v>48</v>
      </c>
      <c r="D37" s="22">
        <f t="shared" si="0"/>
        <v>27</v>
      </c>
      <c r="E37" s="22"/>
      <c r="F37" s="22">
        <v>8.1300000000000008</v>
      </c>
      <c r="G37" s="22">
        <v>2.19</v>
      </c>
      <c r="H37" s="22">
        <v>79.900000000000006</v>
      </c>
      <c r="I37" s="22">
        <v>1.18</v>
      </c>
      <c r="J37" s="22">
        <f>6.3*1.54</f>
        <v>9.702</v>
      </c>
    </row>
    <row r="38" spans="1:10" x14ac:dyDescent="0.3">
      <c r="A38" s="22">
        <v>5</v>
      </c>
      <c r="B38" s="22">
        <v>31.1</v>
      </c>
      <c r="C38" s="22">
        <v>49</v>
      </c>
      <c r="D38" s="22">
        <f t="shared" si="0"/>
        <v>27</v>
      </c>
      <c r="E38" s="22"/>
      <c r="F38" s="22">
        <v>8.1300000000000008</v>
      </c>
      <c r="G38" s="22">
        <v>2.23</v>
      </c>
      <c r="H38" s="22">
        <v>80</v>
      </c>
      <c r="I38" s="22">
        <v>1.18</v>
      </c>
      <c r="J38" s="22">
        <f>6.3*1.58</f>
        <v>9.9540000000000006</v>
      </c>
    </row>
    <row r="39" spans="1:10" x14ac:dyDescent="0.3">
      <c r="A39" s="22">
        <v>6</v>
      </c>
      <c r="B39" s="22">
        <v>30.6</v>
      </c>
      <c r="C39" s="22">
        <v>50</v>
      </c>
      <c r="D39" s="22">
        <f t="shared" si="0"/>
        <v>27</v>
      </c>
      <c r="E39" s="22"/>
      <c r="F39" s="22">
        <v>8.2100000000000009</v>
      </c>
      <c r="G39" s="22">
        <v>2.25</v>
      </c>
      <c r="H39" s="22">
        <v>80.2</v>
      </c>
      <c r="I39" s="22">
        <v>1.19</v>
      </c>
      <c r="J39" s="22">
        <f>6.3*1.59</f>
        <v>10.016999999999999</v>
      </c>
    </row>
    <row r="40" spans="1:10" x14ac:dyDescent="0.3">
      <c r="A40" s="22">
        <v>7</v>
      </c>
      <c r="B40" s="22">
        <v>31.1</v>
      </c>
      <c r="C40" s="22">
        <v>50</v>
      </c>
      <c r="D40" s="22">
        <f t="shared" si="0"/>
        <v>27</v>
      </c>
      <c r="E40" s="22"/>
      <c r="F40" s="22">
        <v>8.2100000000000009</v>
      </c>
      <c r="G40" s="22">
        <v>2.27</v>
      </c>
      <c r="H40" s="22">
        <v>80.2</v>
      </c>
      <c r="I40" s="22">
        <v>1.19</v>
      </c>
      <c r="J40" s="22">
        <f>6.3*1.61</f>
        <v>10.143000000000001</v>
      </c>
    </row>
    <row r="41" spans="1:10" x14ac:dyDescent="0.3">
      <c r="A41" s="22">
        <v>8</v>
      </c>
      <c r="B41" s="22">
        <v>32</v>
      </c>
      <c r="C41" s="22">
        <v>51</v>
      </c>
      <c r="D41" s="22">
        <f t="shared" si="0"/>
        <v>27</v>
      </c>
      <c r="E41" s="22"/>
      <c r="F41" s="22">
        <v>8.2100000000000009</v>
      </c>
      <c r="G41" s="22">
        <v>2.29</v>
      </c>
      <c r="H41" s="22">
        <v>80.3</v>
      </c>
      <c r="I41" s="22">
        <v>1.19</v>
      </c>
      <c r="J41" s="22">
        <f>6.3*1.62</f>
        <v>10.206</v>
      </c>
    </row>
    <row r="42" spans="1:10" x14ac:dyDescent="0.3">
      <c r="A42" s="22">
        <v>9</v>
      </c>
      <c r="B42" s="22">
        <v>31.7</v>
      </c>
      <c r="C42" s="22">
        <v>51</v>
      </c>
      <c r="D42" s="22">
        <f t="shared" si="0"/>
        <v>27</v>
      </c>
      <c r="E42" s="22"/>
      <c r="F42" s="22">
        <v>8.2899999999999991</v>
      </c>
      <c r="G42" s="22">
        <v>2.31</v>
      </c>
      <c r="H42" s="22">
        <v>80.3</v>
      </c>
      <c r="I42" s="22">
        <v>1.2</v>
      </c>
      <c r="J42" s="22">
        <f>1.63*6.3</f>
        <v>10.268999999999998</v>
      </c>
    </row>
    <row r="43" spans="1:10" x14ac:dyDescent="0.3">
      <c r="A43" s="22">
        <v>10</v>
      </c>
      <c r="B43" s="22">
        <v>31.6</v>
      </c>
      <c r="C43" s="22">
        <v>52</v>
      </c>
      <c r="D43" s="22">
        <f t="shared" si="0"/>
        <v>27</v>
      </c>
      <c r="E43" s="22"/>
      <c r="F43" s="22">
        <v>8.2899999999999991</v>
      </c>
      <c r="G43" s="22">
        <v>2.31</v>
      </c>
      <c r="H43" s="22">
        <v>80.400000000000006</v>
      </c>
      <c r="I43" s="22">
        <v>1.2</v>
      </c>
      <c r="J43" s="22">
        <f>1.64*6.3</f>
        <v>10.331999999999999</v>
      </c>
    </row>
    <row r="44" spans="1:10" x14ac:dyDescent="0.3">
      <c r="A44" s="22">
        <v>11</v>
      </c>
      <c r="B44" s="22">
        <v>32.1</v>
      </c>
      <c r="C44" s="22">
        <v>51</v>
      </c>
      <c r="D44" s="22">
        <f t="shared" si="0"/>
        <v>27</v>
      </c>
      <c r="E44" s="22"/>
      <c r="F44" s="22">
        <v>8.2899999999999991</v>
      </c>
      <c r="G44" s="22">
        <v>2.3199999999999998</v>
      </c>
      <c r="H44" s="22">
        <v>80.400000000000006</v>
      </c>
      <c r="I44" s="22">
        <v>1.2</v>
      </c>
      <c r="J44" s="22">
        <f>1.64*6.3</f>
        <v>10.331999999999999</v>
      </c>
    </row>
    <row r="45" spans="1:10" x14ac:dyDescent="0.3">
      <c r="A45" s="22">
        <v>12</v>
      </c>
      <c r="B45" s="22">
        <v>32.1</v>
      </c>
      <c r="C45" s="22">
        <v>52</v>
      </c>
      <c r="D45" s="22">
        <f t="shared" si="0"/>
        <v>27</v>
      </c>
      <c r="E45" s="22"/>
      <c r="F45" s="22">
        <v>8.2100000000000009</v>
      </c>
      <c r="G45" s="22">
        <v>2.34</v>
      </c>
      <c r="H45" s="22">
        <v>80.5</v>
      </c>
      <c r="I45" s="22">
        <v>1.21</v>
      </c>
      <c r="J45" s="22">
        <f>1.66*6.3</f>
        <v>10.457999999999998</v>
      </c>
    </row>
    <row r="46" spans="1:10" x14ac:dyDescent="0.3">
      <c r="A46" s="22">
        <v>13</v>
      </c>
      <c r="B46" s="22">
        <v>32.700000000000003</v>
      </c>
      <c r="C46" s="22">
        <v>52</v>
      </c>
      <c r="D46" s="22">
        <f t="shared" si="0"/>
        <v>27</v>
      </c>
      <c r="E46" s="22"/>
      <c r="F46" s="22">
        <v>8.2899999999999991</v>
      </c>
      <c r="G46" s="22">
        <v>2.35</v>
      </c>
      <c r="H46" s="22">
        <v>80.5</v>
      </c>
      <c r="I46" s="22">
        <v>1.2</v>
      </c>
      <c r="J46" s="22">
        <f>1.66*6.3</f>
        <v>10.457999999999998</v>
      </c>
    </row>
    <row r="47" spans="1:10" x14ac:dyDescent="0.3">
      <c r="A47" s="22">
        <v>14</v>
      </c>
      <c r="B47" s="22">
        <v>32.700000000000003</v>
      </c>
      <c r="C47" s="22">
        <v>52</v>
      </c>
      <c r="D47" s="22">
        <f t="shared" si="0"/>
        <v>27</v>
      </c>
      <c r="E47" s="22"/>
      <c r="F47" s="22">
        <v>8.2899999999999991</v>
      </c>
      <c r="G47" s="22">
        <v>2.35</v>
      </c>
      <c r="H47" s="22">
        <v>80.599999999999994</v>
      </c>
      <c r="I47" s="22">
        <v>1.2</v>
      </c>
      <c r="J47" s="22">
        <f>1.67*6.3</f>
        <v>10.520999999999999</v>
      </c>
    </row>
    <row r="48" spans="1:10" x14ac:dyDescent="0.3">
      <c r="A48" s="22">
        <v>15</v>
      </c>
      <c r="B48" s="22">
        <v>32.5</v>
      </c>
      <c r="C48" s="22">
        <v>52</v>
      </c>
      <c r="D48" s="22">
        <f t="shared" si="0"/>
        <v>27</v>
      </c>
      <c r="E48" s="22"/>
      <c r="F48" s="22">
        <v>8.2100000000000009</v>
      </c>
      <c r="G48" s="22">
        <v>2.36</v>
      </c>
      <c r="H48" s="22">
        <v>80.599999999999994</v>
      </c>
      <c r="I48" s="22">
        <v>1.2</v>
      </c>
      <c r="J48" s="22">
        <f>1.68*6.3</f>
        <v>10.584</v>
      </c>
    </row>
    <row r="49" spans="1:10" x14ac:dyDescent="0.3">
      <c r="A49" t="s">
        <v>221</v>
      </c>
      <c r="D49" t="s">
        <v>222</v>
      </c>
      <c r="E49" s="37">
        <v>46213</v>
      </c>
      <c r="F49" t="s">
        <v>223</v>
      </c>
      <c r="G49" s="38">
        <v>27</v>
      </c>
      <c r="H49" t="s">
        <v>224</v>
      </c>
    </row>
    <row r="50" spans="1:10" x14ac:dyDescent="0.3">
      <c r="A50" t="s">
        <v>13</v>
      </c>
    </row>
    <row r="51" spans="1:10" x14ac:dyDescent="0.3">
      <c r="A51" t="s">
        <v>230</v>
      </c>
    </row>
    <row r="52" spans="1:10" x14ac:dyDescent="0.3">
      <c r="A52" t="s">
        <v>9</v>
      </c>
    </row>
    <row r="53" spans="1:10" x14ac:dyDescent="0.3">
      <c r="A53" t="s">
        <v>226</v>
      </c>
    </row>
    <row r="54" spans="1:10" x14ac:dyDescent="0.3">
      <c r="A54" t="s">
        <v>10</v>
      </c>
    </row>
    <row r="55" spans="1:10" x14ac:dyDescent="0.3">
      <c r="A55" t="s">
        <v>227</v>
      </c>
      <c r="B55" t="s">
        <v>11</v>
      </c>
    </row>
    <row r="56" spans="1:10" x14ac:dyDescent="0.3">
      <c r="A56" t="s">
        <v>228</v>
      </c>
      <c r="B56" t="s">
        <v>12</v>
      </c>
    </row>
    <row r="58" spans="1:10" ht="18" customHeight="1" x14ac:dyDescent="0.3">
      <c r="A58" s="40" t="s">
        <v>231</v>
      </c>
      <c r="B58" s="25"/>
      <c r="C58" s="25"/>
      <c r="D58" s="25"/>
      <c r="E58" s="25"/>
      <c r="F58" s="26"/>
      <c r="G58" s="26"/>
      <c r="H58" s="26"/>
      <c r="I58" s="26"/>
      <c r="J58" s="26"/>
    </row>
    <row r="59" spans="1:10" ht="28.95" customHeight="1" x14ac:dyDescent="0.3">
      <c r="A59" s="41" t="s">
        <v>219</v>
      </c>
      <c r="B59" s="42" t="s">
        <v>0</v>
      </c>
      <c r="C59" s="42" t="s">
        <v>1</v>
      </c>
      <c r="D59" s="42" t="s">
        <v>220</v>
      </c>
      <c r="E59" s="43" t="s">
        <v>2</v>
      </c>
      <c r="F59" s="44" t="s">
        <v>139</v>
      </c>
      <c r="G59" s="44" t="s">
        <v>3</v>
      </c>
      <c r="H59" s="45" t="s">
        <v>4</v>
      </c>
      <c r="I59" s="45" t="s">
        <v>5</v>
      </c>
      <c r="J59" s="45" t="s">
        <v>6</v>
      </c>
    </row>
    <row r="60" spans="1:10" x14ac:dyDescent="0.3">
      <c r="A60" s="46">
        <v>0</v>
      </c>
      <c r="B60" s="46">
        <v>29.7</v>
      </c>
      <c r="C60" s="46">
        <v>26</v>
      </c>
      <c r="D60" s="46">
        <f t="shared" ref="D60:D75" si="1">$G$77</f>
        <v>26</v>
      </c>
      <c r="E60" s="46"/>
      <c r="F60" s="47"/>
      <c r="G60" s="47"/>
      <c r="H60" s="47"/>
      <c r="I60" s="47"/>
      <c r="J60" s="47"/>
    </row>
    <row r="61" spans="1:10" x14ac:dyDescent="0.3">
      <c r="A61" s="46">
        <v>1</v>
      </c>
      <c r="B61" s="46">
        <v>30.3</v>
      </c>
      <c r="C61" s="46">
        <v>37</v>
      </c>
      <c r="D61" s="46">
        <f t="shared" si="1"/>
        <v>26</v>
      </c>
      <c r="E61" s="46"/>
      <c r="F61" s="47">
        <v>3.74</v>
      </c>
      <c r="G61" s="47">
        <v>2.76</v>
      </c>
      <c r="H61" s="47">
        <v>74</v>
      </c>
      <c r="I61" s="47">
        <v>0.88200000000000001</v>
      </c>
      <c r="J61" s="47">
        <f>1.36*4</f>
        <v>5.44</v>
      </c>
    </row>
    <row r="62" spans="1:10" x14ac:dyDescent="0.3">
      <c r="A62" s="46">
        <v>2</v>
      </c>
      <c r="B62" s="46">
        <v>29.7</v>
      </c>
      <c r="C62" s="46">
        <v>43</v>
      </c>
      <c r="D62" s="46">
        <f t="shared" si="1"/>
        <v>26</v>
      </c>
      <c r="E62" s="46"/>
      <c r="F62" s="47">
        <v>4.2</v>
      </c>
      <c r="G62" s="47">
        <v>3.24</v>
      </c>
      <c r="H62" s="47">
        <v>74.599999999999994</v>
      </c>
      <c r="I62" s="47">
        <v>1.18</v>
      </c>
      <c r="J62" s="47">
        <f>1.7*4</f>
        <v>6.8</v>
      </c>
    </row>
    <row r="63" spans="1:10" x14ac:dyDescent="0.3">
      <c r="A63" s="46">
        <v>3</v>
      </c>
      <c r="B63" s="46">
        <v>29.8</v>
      </c>
      <c r="C63" s="46">
        <v>46</v>
      </c>
      <c r="D63" s="46">
        <f t="shared" si="1"/>
        <v>26</v>
      </c>
      <c r="E63" s="46"/>
      <c r="F63" s="47">
        <v>4.3899999999999997</v>
      </c>
      <c r="G63" s="47">
        <v>3.49</v>
      </c>
      <c r="H63" s="47">
        <v>74.400000000000006</v>
      </c>
      <c r="I63" s="47">
        <v>1.35</v>
      </c>
      <c r="J63" s="47">
        <f>1.9*4</f>
        <v>7.6</v>
      </c>
    </row>
    <row r="64" spans="1:10" x14ac:dyDescent="0.3">
      <c r="A64" s="46">
        <v>4</v>
      </c>
      <c r="B64" s="46">
        <v>29.8</v>
      </c>
      <c r="C64" s="46">
        <v>49</v>
      </c>
      <c r="D64" s="46">
        <f t="shared" si="1"/>
        <v>26</v>
      </c>
      <c r="E64" s="46"/>
      <c r="F64" s="47">
        <v>4.51</v>
      </c>
      <c r="G64" s="47">
        <v>3.62</v>
      </c>
      <c r="H64" s="47">
        <v>74.400000000000006</v>
      </c>
      <c r="I64" s="47">
        <v>1.43</v>
      </c>
      <c r="J64" s="47">
        <f>2*4</f>
        <v>8</v>
      </c>
    </row>
    <row r="65" spans="1:10" x14ac:dyDescent="0.3">
      <c r="A65" s="46">
        <v>5</v>
      </c>
      <c r="B65" s="46">
        <v>29.8</v>
      </c>
      <c r="C65" s="46">
        <v>51</v>
      </c>
      <c r="D65" s="46">
        <f t="shared" si="1"/>
        <v>26</v>
      </c>
      <c r="E65" s="46"/>
      <c r="F65" s="47">
        <v>4.63</v>
      </c>
      <c r="G65" s="47">
        <v>3.66</v>
      </c>
      <c r="H65" s="47">
        <v>74.3</v>
      </c>
      <c r="I65" s="47">
        <v>1.49</v>
      </c>
      <c r="J65" s="47">
        <f>2.08*4</f>
        <v>8.32</v>
      </c>
    </row>
    <row r="66" spans="1:10" x14ac:dyDescent="0.3">
      <c r="A66" s="46">
        <v>6</v>
      </c>
      <c r="B66" s="46">
        <v>30.1</v>
      </c>
      <c r="C66" s="46">
        <v>52</v>
      </c>
      <c r="D66" s="46">
        <f t="shared" si="1"/>
        <v>26</v>
      </c>
      <c r="E66" s="46"/>
      <c r="F66" s="47">
        <v>4.67</v>
      </c>
      <c r="G66" s="47">
        <v>3.7</v>
      </c>
      <c r="H66" s="47">
        <v>74.400000000000006</v>
      </c>
      <c r="I66" s="47">
        <v>1.51</v>
      </c>
      <c r="J66" s="47">
        <f>2.12*4</f>
        <v>8.48</v>
      </c>
    </row>
    <row r="67" spans="1:10" x14ac:dyDescent="0.3">
      <c r="A67" s="46">
        <v>7</v>
      </c>
      <c r="B67" s="46">
        <v>30.1</v>
      </c>
      <c r="C67" s="46">
        <v>53</v>
      </c>
      <c r="D67" s="46">
        <f t="shared" si="1"/>
        <v>26</v>
      </c>
      <c r="E67" s="46"/>
      <c r="F67" s="47">
        <v>4.67</v>
      </c>
      <c r="G67" s="47">
        <v>3.78</v>
      </c>
      <c r="H67" s="47">
        <v>74.599999999999994</v>
      </c>
      <c r="I67" s="47">
        <v>1.53</v>
      </c>
      <c r="J67" s="47">
        <f>2.15*4</f>
        <v>8.6</v>
      </c>
    </row>
    <row r="68" spans="1:10" x14ac:dyDescent="0.3">
      <c r="A68" s="46">
        <v>8</v>
      </c>
      <c r="B68" s="46">
        <v>30</v>
      </c>
      <c r="C68" s="46">
        <v>53</v>
      </c>
      <c r="D68" s="46">
        <f t="shared" si="1"/>
        <v>26</v>
      </c>
      <c r="E68" s="46"/>
      <c r="F68" s="47">
        <v>4.67</v>
      </c>
      <c r="G68" s="47">
        <v>3.79</v>
      </c>
      <c r="H68" s="47">
        <v>74.599999999999994</v>
      </c>
      <c r="I68" s="47">
        <v>1.54</v>
      </c>
      <c r="J68" s="47">
        <f>2.16*4</f>
        <v>8.64</v>
      </c>
    </row>
    <row r="69" spans="1:10" x14ac:dyDescent="0.3">
      <c r="A69" s="46">
        <v>9</v>
      </c>
      <c r="B69" s="46">
        <v>29.9</v>
      </c>
      <c r="C69" s="46">
        <v>54</v>
      </c>
      <c r="D69" s="46">
        <f t="shared" si="1"/>
        <v>26</v>
      </c>
      <c r="E69" s="46"/>
      <c r="F69" s="47">
        <v>4.74</v>
      </c>
      <c r="G69" s="47">
        <v>3.76</v>
      </c>
      <c r="H69" s="47">
        <v>74.400000000000006</v>
      </c>
      <c r="I69" s="47">
        <v>1.55</v>
      </c>
      <c r="J69" s="47">
        <f>2.18*4</f>
        <v>8.7200000000000006</v>
      </c>
    </row>
    <row r="70" spans="1:10" x14ac:dyDescent="0.3">
      <c r="A70" s="46">
        <v>10</v>
      </c>
      <c r="B70" s="46">
        <v>30.2</v>
      </c>
      <c r="C70" s="46">
        <v>54</v>
      </c>
      <c r="D70" s="46">
        <f t="shared" si="1"/>
        <v>26</v>
      </c>
      <c r="E70" s="46"/>
      <c r="F70" s="47">
        <v>4.7</v>
      </c>
      <c r="G70" s="47">
        <v>3.78</v>
      </c>
      <c r="H70" s="47">
        <v>74.400000000000006</v>
      </c>
      <c r="I70" s="47">
        <v>1.56</v>
      </c>
      <c r="J70" s="47">
        <f>2.19*4</f>
        <v>8.76</v>
      </c>
    </row>
    <row r="71" spans="1:10" x14ac:dyDescent="0.3">
      <c r="A71" s="46">
        <v>11</v>
      </c>
      <c r="B71" s="46">
        <v>30.1</v>
      </c>
      <c r="C71" s="46">
        <v>54</v>
      </c>
      <c r="D71" s="46">
        <f t="shared" si="1"/>
        <v>26</v>
      </c>
      <c r="E71" s="46"/>
      <c r="F71" s="47">
        <v>4.7</v>
      </c>
      <c r="G71" s="47">
        <v>3.75</v>
      </c>
      <c r="H71" s="47">
        <v>74.3</v>
      </c>
      <c r="I71" s="47">
        <v>1.57</v>
      </c>
      <c r="J71" s="47">
        <f>2.2*4</f>
        <v>8.8000000000000007</v>
      </c>
    </row>
    <row r="72" spans="1:10" x14ac:dyDescent="0.3">
      <c r="A72" s="46">
        <v>12</v>
      </c>
      <c r="B72" s="46">
        <v>30.5</v>
      </c>
      <c r="C72" s="46">
        <v>55</v>
      </c>
      <c r="D72" s="46">
        <f t="shared" si="1"/>
        <v>26</v>
      </c>
      <c r="E72" s="46"/>
      <c r="F72" s="47">
        <v>4.75</v>
      </c>
      <c r="G72" s="47">
        <v>3.82</v>
      </c>
      <c r="H72" s="47">
        <v>74.599999999999994</v>
      </c>
      <c r="I72" s="47">
        <v>1.57</v>
      </c>
      <c r="J72" s="47">
        <f>2.2*4</f>
        <v>8.8000000000000007</v>
      </c>
    </row>
    <row r="73" spans="1:10" x14ac:dyDescent="0.3">
      <c r="A73" s="46">
        <v>13</v>
      </c>
      <c r="B73" s="46">
        <v>30.4</v>
      </c>
      <c r="C73" s="46">
        <v>54</v>
      </c>
      <c r="D73" s="46">
        <f t="shared" si="1"/>
        <v>26</v>
      </c>
      <c r="E73" s="46"/>
      <c r="F73" s="47">
        <v>4.75</v>
      </c>
      <c r="G73" s="47">
        <v>3.81</v>
      </c>
      <c r="H73" s="47">
        <v>74.7</v>
      </c>
      <c r="I73" s="47">
        <v>1.55</v>
      </c>
      <c r="J73" s="47">
        <f>2.21*4</f>
        <v>8.84</v>
      </c>
    </row>
    <row r="74" spans="1:10" x14ac:dyDescent="0.3">
      <c r="A74" s="46">
        <v>14</v>
      </c>
      <c r="B74" s="46">
        <v>30.7</v>
      </c>
      <c r="C74" s="46">
        <v>54</v>
      </c>
      <c r="D74" s="46">
        <f t="shared" si="1"/>
        <v>26</v>
      </c>
      <c r="E74" s="46"/>
      <c r="F74" s="47">
        <v>4.67</v>
      </c>
      <c r="G74" s="47">
        <v>3.78</v>
      </c>
      <c r="H74" s="47">
        <v>74.5</v>
      </c>
      <c r="I74" s="47">
        <v>1.55</v>
      </c>
      <c r="J74" s="47">
        <f>2.21*4</f>
        <v>8.84</v>
      </c>
    </row>
    <row r="75" spans="1:10" x14ac:dyDescent="0.3">
      <c r="A75" s="46">
        <v>15</v>
      </c>
      <c r="B75" s="46">
        <v>30.6</v>
      </c>
      <c r="C75" s="46">
        <v>54</v>
      </c>
      <c r="D75" s="46">
        <f t="shared" si="1"/>
        <v>26</v>
      </c>
      <c r="E75" s="46"/>
      <c r="F75" s="47">
        <v>4.7</v>
      </c>
      <c r="G75" s="47">
        <v>3.79</v>
      </c>
      <c r="H75" s="47">
        <v>74.5</v>
      </c>
      <c r="I75" s="47">
        <v>1.56</v>
      </c>
      <c r="J75" s="47">
        <f>2.21*4</f>
        <v>8.84</v>
      </c>
    </row>
    <row r="77" spans="1:10" x14ac:dyDescent="0.3">
      <c r="A77" s="3" t="s">
        <v>221</v>
      </c>
      <c r="D77" s="3" t="s">
        <v>222</v>
      </c>
      <c r="E77" s="39">
        <v>46213</v>
      </c>
      <c r="F77" s="3" t="s">
        <v>223</v>
      </c>
      <c r="G77" s="10">
        <v>26</v>
      </c>
      <c r="H77" s="3" t="s">
        <v>224</v>
      </c>
      <c r="I77" s="10"/>
    </row>
    <row r="78" spans="1:10" x14ac:dyDescent="0.3">
      <c r="A78" t="s">
        <v>14</v>
      </c>
    </row>
    <row r="79" spans="1:10" x14ac:dyDescent="0.3">
      <c r="A79" t="s">
        <v>15</v>
      </c>
      <c r="B79" t="s">
        <v>232</v>
      </c>
    </row>
    <row r="80" spans="1:10" x14ac:dyDescent="0.3">
      <c r="A80" t="s">
        <v>9</v>
      </c>
    </row>
    <row r="81" spans="1:2" x14ac:dyDescent="0.3">
      <c r="A81" t="s">
        <v>226</v>
      </c>
    </row>
    <row r="82" spans="1:2" x14ac:dyDescent="0.3">
      <c r="A82" t="s">
        <v>10</v>
      </c>
    </row>
    <row r="85" spans="1:2" x14ac:dyDescent="0.3">
      <c r="A85" s="3" t="s">
        <v>227</v>
      </c>
      <c r="B85" t="s">
        <v>11</v>
      </c>
    </row>
    <row r="86" spans="1:2" x14ac:dyDescent="0.3">
      <c r="A86" s="3" t="s">
        <v>228</v>
      </c>
      <c r="B86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O22"/>
  <sheetViews>
    <sheetView showGridLines="0" workbookViewId="0">
      <pane ySplit="2" topLeftCell="A3" activePane="bottomLeft" state="frozen"/>
      <selection pane="bottomLeft" activeCell="I26" sqref="I26"/>
    </sheetView>
  </sheetViews>
  <sheetFormatPr baseColWidth="10" defaultColWidth="8.88671875" defaultRowHeight="14.4" x14ac:dyDescent="0.3"/>
  <cols>
    <col min="1" max="1" width="13.33203125" bestFit="1" customWidth="1"/>
    <col min="2" max="2" width="11.33203125" bestFit="1" customWidth="1"/>
    <col min="3" max="3" width="11.6640625" bestFit="1" customWidth="1"/>
    <col min="4" max="5" width="11.5546875" bestFit="1" customWidth="1"/>
    <col min="6" max="6" width="9.44140625" bestFit="1" customWidth="1"/>
    <col min="7" max="7" width="14.5546875" customWidth="1"/>
    <col min="8" max="8" width="14" customWidth="1"/>
    <col min="9" max="9" width="30" customWidth="1"/>
  </cols>
  <sheetData>
    <row r="1" spans="1:15" ht="18" customHeight="1" x14ac:dyDescent="0.3">
      <c r="A1" s="32" t="s">
        <v>233</v>
      </c>
      <c r="B1" s="34"/>
      <c r="C1" s="34"/>
      <c r="D1" s="34"/>
      <c r="E1" s="34"/>
      <c r="F1" s="34"/>
      <c r="G1" s="34"/>
      <c r="H1" s="34"/>
      <c r="I1" s="34"/>
      <c r="J1" s="33"/>
      <c r="K1" s="33"/>
      <c r="L1" s="33"/>
      <c r="M1" s="33"/>
      <c r="N1" s="33"/>
      <c r="O1" s="33"/>
    </row>
    <row r="2" spans="1:15" ht="24" customHeight="1" x14ac:dyDescent="0.3">
      <c r="A2" s="27" t="s">
        <v>234</v>
      </c>
      <c r="B2" s="30" t="s">
        <v>235</v>
      </c>
      <c r="C2" s="30" t="s">
        <v>236</v>
      </c>
      <c r="D2" s="30" t="s">
        <v>237</v>
      </c>
      <c r="E2" s="30" t="s">
        <v>238</v>
      </c>
      <c r="F2" s="29"/>
      <c r="G2" s="29"/>
      <c r="H2" s="28" t="s">
        <v>51</v>
      </c>
      <c r="I2" s="29" t="s">
        <v>2</v>
      </c>
      <c r="J2" s="11"/>
      <c r="K2" s="11"/>
      <c r="L2" s="11"/>
      <c r="M2" s="11"/>
      <c r="N2" s="11"/>
      <c r="O2" s="11"/>
    </row>
    <row r="3" spans="1:15" x14ac:dyDescent="0.3">
      <c r="A3" s="21">
        <v>1</v>
      </c>
      <c r="B3" s="21">
        <v>3.4</v>
      </c>
      <c r="C3" s="21">
        <v>4.66</v>
      </c>
      <c r="D3" s="21">
        <v>2.4700000000000002</v>
      </c>
      <c r="E3" s="21">
        <v>2.2999999999999998</v>
      </c>
      <c r="F3" s="21"/>
      <c r="G3" s="21"/>
      <c r="H3" s="21">
        <v>29</v>
      </c>
      <c r="I3" s="21" t="s">
        <v>239</v>
      </c>
    </row>
    <row r="4" spans="1:15" x14ac:dyDescent="0.3">
      <c r="A4" s="21">
        <v>2</v>
      </c>
      <c r="B4" s="21">
        <v>3.4</v>
      </c>
      <c r="C4" s="21">
        <v>4.66</v>
      </c>
      <c r="D4" s="21">
        <v>2.5</v>
      </c>
      <c r="E4" s="21">
        <v>2.2999999999999998</v>
      </c>
      <c r="F4" s="21"/>
      <c r="G4" s="21"/>
      <c r="H4" s="21">
        <v>29</v>
      </c>
      <c r="I4" s="21" t="s">
        <v>239</v>
      </c>
    </row>
    <row r="5" spans="1:15" x14ac:dyDescent="0.3">
      <c r="A5" s="21">
        <v>3</v>
      </c>
      <c r="B5" s="21">
        <v>3.3</v>
      </c>
      <c r="C5" s="21">
        <v>4.66</v>
      </c>
      <c r="D5" s="21">
        <v>2.4</v>
      </c>
      <c r="E5" s="21">
        <v>2.38</v>
      </c>
      <c r="F5" s="21"/>
      <c r="G5" s="21"/>
      <c r="H5" s="21">
        <v>28</v>
      </c>
      <c r="I5" s="21" t="s">
        <v>240</v>
      </c>
    </row>
    <row r="6" spans="1:15" x14ac:dyDescent="0.3">
      <c r="A6" s="21">
        <v>4</v>
      </c>
      <c r="B6" s="21">
        <v>3.28</v>
      </c>
      <c r="C6" s="21">
        <v>4.66</v>
      </c>
      <c r="D6" s="21">
        <v>2.52</v>
      </c>
      <c r="E6" s="21">
        <v>2.33</v>
      </c>
      <c r="F6" s="21"/>
      <c r="G6" s="21"/>
      <c r="H6" s="21">
        <v>33</v>
      </c>
      <c r="I6" s="21" t="s">
        <v>240</v>
      </c>
    </row>
    <row r="7" spans="1:15" x14ac:dyDescent="0.3">
      <c r="A7" s="21">
        <v>5</v>
      </c>
      <c r="B7" s="21">
        <v>3.18</v>
      </c>
      <c r="C7" s="21">
        <v>4.5</v>
      </c>
      <c r="D7" s="21">
        <v>2.4500000000000002</v>
      </c>
      <c r="E7" s="21">
        <v>2.39</v>
      </c>
      <c r="F7" s="21"/>
      <c r="G7" s="21"/>
      <c r="H7" s="21">
        <v>29</v>
      </c>
      <c r="I7" s="21" t="s">
        <v>241</v>
      </c>
    </row>
    <row r="8" spans="1:15" x14ac:dyDescent="0.3">
      <c r="A8" s="21"/>
      <c r="B8" s="21" t="s">
        <v>18</v>
      </c>
      <c r="C8" s="21" t="s">
        <v>18</v>
      </c>
      <c r="D8" s="21"/>
      <c r="E8" s="21"/>
      <c r="F8" s="21"/>
      <c r="G8" s="21"/>
      <c r="H8" s="21"/>
      <c r="I8" s="21"/>
    </row>
    <row r="9" spans="1:15" x14ac:dyDescent="0.3">
      <c r="A9" s="23" t="s">
        <v>242</v>
      </c>
      <c r="B9" s="21">
        <f>IF(COUNT(B3:B7)=0,"",IFERROR(AVERAGE(B3:B7),""))</f>
        <v>3.3119999999999998</v>
      </c>
      <c r="C9" s="21">
        <f>IF(COUNT(C3:C7)=0,"",IFERROR(AVERAGE(C3:C7),""))</f>
        <v>4.6280000000000001</v>
      </c>
      <c r="D9" s="21"/>
      <c r="E9" s="21"/>
      <c r="F9" s="21"/>
      <c r="G9" s="21"/>
      <c r="H9" s="21"/>
      <c r="I9" s="21"/>
    </row>
    <row r="10" spans="1:15" x14ac:dyDescent="0.3">
      <c r="A10" s="23" t="s">
        <v>243</v>
      </c>
      <c r="B10" s="21">
        <f>IF(COUNT(B3:B7)&lt;2,"",IFERROR(STDEV(B3:B7),""))</f>
        <v>9.2303846073714529E-2</v>
      </c>
      <c r="C10" s="21">
        <f>IF(COUNT(C3:C7)&lt;2,"",IFERROR(STDEV(C3:C7),""))</f>
        <v>7.1554175279993346E-2</v>
      </c>
      <c r="D10" s="21"/>
      <c r="E10" s="21"/>
      <c r="F10" s="21"/>
      <c r="G10" s="21"/>
      <c r="H10" s="21"/>
      <c r="I10" s="21"/>
    </row>
    <row r="11" spans="1:15" x14ac:dyDescent="0.3">
      <c r="A11" s="23" t="s">
        <v>81</v>
      </c>
      <c r="B11" s="21">
        <f>IF(COUNT(B3:B7)&lt;2,"",IFERROR(B10/B9*100,""))</f>
        <v>2.7869518742063568</v>
      </c>
      <c r="C11" s="21">
        <f>IF(COUNT(C3:C7)&lt;2,"",IFERROR(C10/C9*100,""))</f>
        <v>1.5461144183231059</v>
      </c>
      <c r="D11" s="21"/>
      <c r="E11" s="21"/>
      <c r="F11" s="21"/>
      <c r="G11" s="21"/>
      <c r="H11" s="21"/>
      <c r="I11" s="2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</row>
    <row r="14" spans="1:15" ht="18" customHeight="1" x14ac:dyDescent="0.3">
      <c r="A14" s="32" t="s">
        <v>244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spans="1:15" ht="36" customHeight="1" x14ac:dyDescent="0.3">
      <c r="A15" s="27" t="s">
        <v>82</v>
      </c>
      <c r="B15" s="30" t="s">
        <v>83</v>
      </c>
      <c r="C15" s="30" t="s">
        <v>84</v>
      </c>
      <c r="D15" s="30" t="s">
        <v>85</v>
      </c>
      <c r="E15" s="30" t="s">
        <v>245</v>
      </c>
      <c r="F15" s="30" t="s">
        <v>246</v>
      </c>
      <c r="G15" s="30" t="s">
        <v>86</v>
      </c>
      <c r="H15" s="28" t="s">
        <v>51</v>
      </c>
      <c r="I15" s="29" t="s">
        <v>87</v>
      </c>
      <c r="J15" s="31" t="s">
        <v>88</v>
      </c>
      <c r="K15" s="31" t="s">
        <v>89</v>
      </c>
      <c r="L15" s="31" t="s">
        <v>90</v>
      </c>
      <c r="M15" s="31" t="s">
        <v>247</v>
      </c>
      <c r="N15" s="31" t="s">
        <v>248</v>
      </c>
      <c r="O15" s="31" t="s">
        <v>91</v>
      </c>
    </row>
    <row r="16" spans="1:15" x14ac:dyDescent="0.3">
      <c r="A16" s="22">
        <v>1</v>
      </c>
      <c r="B16" s="22">
        <v>7.66</v>
      </c>
      <c r="C16" s="22">
        <v>7.97</v>
      </c>
      <c r="D16" s="22">
        <v>8.1300000000000008</v>
      </c>
      <c r="E16" s="36">
        <f>IF(COUNT(B16:D16)=0,"",IFERROR(AVERAGE(B16:D16),""))</f>
        <v>7.919999999999999</v>
      </c>
      <c r="F16" s="36">
        <f>IF(COUNT(B16:D16)&lt;2,"",IFERROR(STDEV(B16:D16),""))</f>
        <v>0.23895606290697063</v>
      </c>
      <c r="G16" s="36">
        <f>IF(COUNT(B16:D16)&lt;2,"",IFERROR(F16/E16*100,""))</f>
        <v>3.0171220064011446</v>
      </c>
      <c r="H16" s="22">
        <v>50</v>
      </c>
      <c r="I16" s="22"/>
      <c r="J16" s="22">
        <v>0.98</v>
      </c>
      <c r="K16" s="22">
        <v>1.1399999999999999</v>
      </c>
      <c r="L16" s="22">
        <v>1.18</v>
      </c>
      <c r="M16" s="35">
        <f>IF(COUNT(J16:L16)=0,"",IFERROR(AVERAGE(J16:L16),""))</f>
        <v>1.0999999999999999</v>
      </c>
      <c r="N16" s="35">
        <f>IF(COUNT(J16:L16)&lt;2,"",IFERROR(STDEV(J16:L16),""))</f>
        <v>0.1058300524425836</v>
      </c>
      <c r="O16" s="35">
        <f>IF(COUNT(J16:L16)&lt;2,"",IFERROR(N16/M16*100,""))</f>
        <v>9.6209138584166922</v>
      </c>
    </row>
    <row r="17" spans="1:15" x14ac:dyDescent="0.3">
      <c r="A17" s="22">
        <v>2</v>
      </c>
      <c r="B17" s="22">
        <v>7.26</v>
      </c>
      <c r="C17" s="22">
        <v>7.82</v>
      </c>
      <c r="D17" s="22">
        <v>8.06</v>
      </c>
      <c r="E17" s="36">
        <f>IF(COUNT(B17:D17)=0,"",IFERROR(AVERAGE(B17:D17),""))</f>
        <v>7.7133333333333338</v>
      </c>
      <c r="F17" s="36">
        <f>IF(COUNT(B17:D17)&lt;2,"",IFERROR(STDEV(B17:D17),""))</f>
        <v>0.41052811515575111</v>
      </c>
      <c r="G17" s="36">
        <f>IF(COUNT(B17:D17)&lt;2,"",IFERROR(F17/E17*100,""))</f>
        <v>5.3223178282940937</v>
      </c>
      <c r="H17" s="22">
        <v>52</v>
      </c>
      <c r="I17" s="22"/>
      <c r="J17" s="22">
        <v>0.85299999999999998</v>
      </c>
      <c r="K17" s="22">
        <v>1.07</v>
      </c>
      <c r="L17" s="22">
        <v>1.1599999999999999</v>
      </c>
      <c r="M17" s="35">
        <f>IF(COUNT(J17:L17)=0,"",IFERROR(AVERAGE(J17:L17),""))</f>
        <v>1.0276666666666667</v>
      </c>
      <c r="N17" s="35">
        <f>IF(COUNT(J17:L17)&lt;2,"",IFERROR(STDEV(J17:L17),""))</f>
        <v>0.15781740503928346</v>
      </c>
      <c r="O17" s="35">
        <f>IF(COUNT(J17:L17)&lt;2,"",IFERROR(N17/M17*100,""))</f>
        <v>15.356867178652298</v>
      </c>
    </row>
    <row r="18" spans="1:15" x14ac:dyDescent="0.3">
      <c r="A18" s="22">
        <v>3</v>
      </c>
      <c r="B18" s="22">
        <v>7.42</v>
      </c>
      <c r="C18" s="22">
        <v>7.89</v>
      </c>
      <c r="D18" s="22">
        <v>8.1300000000000008</v>
      </c>
      <c r="E18" s="36">
        <f>IF(COUNT(B18:D18)=0,"",IFERROR(AVERAGE(B18:D18),""))</f>
        <v>7.8133333333333326</v>
      </c>
      <c r="F18" s="36">
        <f>IF(COUNT(B18:D18)&lt;2,"",IFERROR(STDEV(B18:D18),""))</f>
        <v>0.36115555282084977</v>
      </c>
      <c r="G18" s="36">
        <f>IF(COUNT(B18:D18)&lt;2,"",IFERROR(F18/E18*100,""))</f>
        <v>4.6222980309835719</v>
      </c>
      <c r="H18" s="22">
        <v>51</v>
      </c>
      <c r="I18" s="22"/>
      <c r="J18" s="22">
        <v>0.91500000000000004</v>
      </c>
      <c r="K18" s="22">
        <v>1.07</v>
      </c>
      <c r="L18" s="22">
        <v>1.1599999999999999</v>
      </c>
      <c r="M18" s="35">
        <f>IF(COUNT(J18:L18)=0,"",IFERROR(AVERAGE(J18:L18),""))</f>
        <v>1.0483333333333333</v>
      </c>
      <c r="N18" s="35">
        <f>IF(COUNT(J18:L18)&lt;2,"",IFERROR(STDEV(J18:L18),""))</f>
        <v>0.12392874296680864</v>
      </c>
      <c r="O18" s="35">
        <f>IF(COUNT(J18:L18)&lt;2,"",IFERROR(N18/M18*100,""))</f>
        <v>11.821501713845022</v>
      </c>
    </row>
    <row r="19" spans="1:15" x14ac:dyDescent="0.3">
      <c r="A19" s="22">
        <v>4</v>
      </c>
      <c r="B19" s="22">
        <v>7.26</v>
      </c>
      <c r="C19" s="22">
        <v>7.89</v>
      </c>
      <c r="D19" s="22">
        <v>8.08</v>
      </c>
      <c r="E19" s="36">
        <f>IF(COUNT(B19:D19)=0,"",IFERROR(AVERAGE(B19:D19),""))</f>
        <v>7.7433333333333323</v>
      </c>
      <c r="F19" s="36">
        <f>IF(COUNT(B19:D19)&lt;2,"",IFERROR(STDEV(B19:D19),""))</f>
        <v>0.42922410618851942</v>
      </c>
      <c r="G19" s="36">
        <f>IF(COUNT(B19:D19)&lt;2,"",IFERROR(F19/E19*100,""))</f>
        <v>5.5431438595159639</v>
      </c>
      <c r="H19" s="22">
        <v>50</v>
      </c>
      <c r="I19" s="22"/>
      <c r="J19" s="22">
        <v>0.86899999999999999</v>
      </c>
      <c r="K19" s="22">
        <v>1.08</v>
      </c>
      <c r="L19" s="22">
        <v>1.17</v>
      </c>
      <c r="M19" s="35">
        <f>IF(COUNT(J19:L19)=0,"",IFERROR(AVERAGE(J19:L19),""))</f>
        <v>1.0396666666666665</v>
      </c>
      <c r="N19" s="35">
        <f>IF(COUNT(J19:L19)&lt;2,"",IFERROR(STDEV(J19:L19),""))</f>
        <v>0.15450026968692784</v>
      </c>
      <c r="O19" s="35">
        <f>IF(COUNT(J19:L19)&lt;2,"",IFERROR(N19/M19*100,""))</f>
        <v>14.860558161615375</v>
      </c>
    </row>
    <row r="20" spans="1:15" x14ac:dyDescent="0.3">
      <c r="A20" s="22">
        <v>5</v>
      </c>
      <c r="B20" s="22">
        <v>7.26</v>
      </c>
      <c r="C20" s="22">
        <v>7.89</v>
      </c>
      <c r="D20" s="22">
        <v>8.1300000000000008</v>
      </c>
      <c r="E20" s="36">
        <f>IF(COUNT(B20:D20)=0,"",IFERROR(AVERAGE(B20:D20),""))</f>
        <v>7.7600000000000007</v>
      </c>
      <c r="F20" s="36">
        <f>IF(COUNT(B20:D20)&lt;2,"",IFERROR(STDEV(B20:D20),""))</f>
        <v>0.44933283877321983</v>
      </c>
      <c r="G20" s="36">
        <f>IF(COUNT(B20:D20)&lt;2,"",IFERROR(F20/E20*100,""))</f>
        <v>5.7903716336755133</v>
      </c>
      <c r="H20" s="22">
        <v>49</v>
      </c>
      <c r="I20" s="22"/>
      <c r="J20" s="22">
        <v>0.86</v>
      </c>
      <c r="K20" s="22">
        <v>1.06</v>
      </c>
      <c r="L20" s="22">
        <v>1.1499999999999999</v>
      </c>
      <c r="M20" s="35">
        <f>IF(COUNT(J20:L20)=0,"",IFERROR(AVERAGE(J20:L20),""))</f>
        <v>1.0233333333333332</v>
      </c>
      <c r="N20" s="35">
        <f>IF(COUNT(J20:L20)&lt;2,"",IFERROR(STDEV(J20:L20),""))</f>
        <v>0.14843629385474885</v>
      </c>
      <c r="O20" s="35">
        <f>IF(COUNT(J20:L20)&lt;2,"",IFERROR(N20/M20*100,""))</f>
        <v>14.505175295252332</v>
      </c>
    </row>
    <row r="21" spans="1:15" x14ac:dyDescent="0.3">
      <c r="A21" s="22"/>
      <c r="B21" s="22"/>
      <c r="C21" s="22"/>
      <c r="D21" s="22"/>
      <c r="E21" s="36"/>
      <c r="F21" s="36"/>
      <c r="G21" s="36"/>
      <c r="H21" s="22"/>
      <c r="I21" s="22"/>
      <c r="J21" s="22"/>
      <c r="K21" s="22"/>
      <c r="L21" s="22"/>
      <c r="M21" s="35"/>
      <c r="N21" s="35"/>
      <c r="O21" s="35"/>
    </row>
    <row r="22" spans="1:15" x14ac:dyDescent="0.3">
      <c r="A22" s="22" t="s">
        <v>92</v>
      </c>
      <c r="B22" s="22"/>
      <c r="C22" s="22"/>
      <c r="D22" s="22"/>
      <c r="E22" s="36">
        <f>IF(COUNT(E16:E20)=0,"",IFERROR(AVERAGE(E16:E20),""))</f>
        <v>7.7899999999999991</v>
      </c>
      <c r="F22" s="36">
        <f>IF(COUNT(E16:E20)=0,"",IFERROR(STDEV(E16:E20),""))</f>
        <v>8.1240384046359138E-2</v>
      </c>
      <c r="G22" s="36">
        <f>IF(COUNT(F22,E22)=0,"",IFERROR((F22/E22)*100,""))</f>
        <v>1.0428804113781662</v>
      </c>
      <c r="H22" s="22"/>
      <c r="I22" s="22"/>
      <c r="J22" s="22"/>
      <c r="K22" s="22"/>
      <c r="L22" s="22"/>
      <c r="M22" s="35">
        <f>IF(COUNT(M16:M20)=0,"",IFERROR(AVERAGE(M16:M20),""))</f>
        <v>1.0478000000000001</v>
      </c>
      <c r="N22" s="35">
        <f>IF(COUNT(M16:M20)=0,"",IFERROR(STDEV(M16:M20),""))</f>
        <v>3.08027776525285E-2</v>
      </c>
      <c r="O22" s="35">
        <f>IF(COUNT(N22,M22)=0,"",IFERROR((N22/M22)*100,""))</f>
        <v>2.9397573632876979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Y180"/>
  <sheetViews>
    <sheetView showGridLines="0" topLeftCell="T1" workbookViewId="0">
      <pane ySplit="2" topLeftCell="A162" activePane="bottomLeft" state="frozen"/>
      <selection pane="bottomLeft" sqref="A1:Y1"/>
    </sheetView>
  </sheetViews>
  <sheetFormatPr baseColWidth="10" defaultColWidth="8.88671875" defaultRowHeight="14.4" x14ac:dyDescent="0.3"/>
  <cols>
    <col min="1" max="1" width="9" customWidth="1"/>
    <col min="2" max="2" width="14" customWidth="1"/>
    <col min="3" max="4" width="8" customWidth="1"/>
    <col min="5" max="5" width="9" customWidth="1"/>
    <col min="6" max="6" width="8" customWidth="1"/>
    <col min="7" max="8" width="10" customWidth="1"/>
    <col min="9" max="9" width="8" customWidth="1"/>
    <col min="10" max="13" width="9" customWidth="1"/>
    <col min="14" max="16" width="10" customWidth="1"/>
    <col min="17" max="17" width="12" customWidth="1"/>
    <col min="18" max="18" width="10" customWidth="1"/>
    <col min="19" max="19" width="8" customWidth="1"/>
    <col min="20" max="20" width="10" customWidth="1"/>
    <col min="21" max="22" width="9" customWidth="1"/>
    <col min="23" max="23" width="10" customWidth="1"/>
    <col min="24" max="24" width="16" customWidth="1"/>
    <col min="25" max="25" width="22" customWidth="1"/>
  </cols>
  <sheetData>
    <row r="1" spans="1:25" x14ac:dyDescent="0.3">
      <c r="A1" s="64" t="s">
        <v>249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 ht="24" customHeight="1" x14ac:dyDescent="0.3">
      <c r="A2" s="20" t="s">
        <v>93</v>
      </c>
      <c r="B2" s="20" t="s">
        <v>133</v>
      </c>
      <c r="C2" s="20" t="s">
        <v>28</v>
      </c>
      <c r="D2" s="20" t="s">
        <v>250</v>
      </c>
      <c r="E2" s="20" t="s">
        <v>251</v>
      </c>
      <c r="F2" s="20" t="s">
        <v>94</v>
      </c>
      <c r="G2" s="20" t="s">
        <v>252</v>
      </c>
      <c r="H2" s="20" t="s">
        <v>95</v>
      </c>
      <c r="I2" s="20" t="s">
        <v>96</v>
      </c>
      <c r="J2" s="20" t="s">
        <v>6</v>
      </c>
      <c r="K2" s="20" t="s">
        <v>97</v>
      </c>
      <c r="L2" s="20" t="s">
        <v>98</v>
      </c>
      <c r="M2" s="20" t="s">
        <v>3</v>
      </c>
      <c r="N2" s="20" t="s">
        <v>253</v>
      </c>
      <c r="O2" s="20" t="s">
        <v>37</v>
      </c>
      <c r="P2" s="20" t="s">
        <v>254</v>
      </c>
      <c r="Q2" s="20" t="s">
        <v>255</v>
      </c>
      <c r="R2" s="20" t="s">
        <v>256</v>
      </c>
      <c r="S2" s="20" t="s">
        <v>40</v>
      </c>
      <c r="T2" s="20" t="s">
        <v>51</v>
      </c>
      <c r="U2" s="20" t="s">
        <v>145</v>
      </c>
      <c r="V2" s="20" t="s">
        <v>99</v>
      </c>
      <c r="W2" s="20" t="s">
        <v>257</v>
      </c>
      <c r="X2" s="20" t="s">
        <v>258</v>
      </c>
      <c r="Y2" s="20" t="s">
        <v>2</v>
      </c>
    </row>
    <row r="3" spans="1:25" x14ac:dyDescent="0.3">
      <c r="A3" t="s">
        <v>16</v>
      </c>
      <c r="B3" t="str">
        <f>'Exp 1 - Probe_Characterization'!A5</f>
        <v>BLOCK 1</v>
      </c>
      <c r="C3" t="str">
        <f>'Exp 1 - Probe_Characterization'!C5</f>
        <v>SQUARE</v>
      </c>
      <c r="D3">
        <f>'Exp 1 - Probe_Characterization'!D5</f>
        <v>0</v>
      </c>
      <c r="E3">
        <f>'Exp 1 - Probe_Characterization'!E5</f>
        <v>20</v>
      </c>
      <c r="F3">
        <f>'Exp 1 - Probe_Characterization'!G5</f>
        <v>100</v>
      </c>
      <c r="G3">
        <f>'Exp 1 - Probe_Characterization'!H5</f>
        <v>1</v>
      </c>
      <c r="H3">
        <f>'Exp 1 - Probe_Characterization'!I5</f>
        <v>0.98799999999999999</v>
      </c>
      <c r="I3">
        <f>'Exp 1 - Probe_Characterization'!L5</f>
        <v>0.38</v>
      </c>
      <c r="J3">
        <f>'Exp 1 - Probe_Characterization'!M5</f>
        <v>0.38</v>
      </c>
      <c r="K3">
        <f>'Exp 1 - Probe_Characterization'!N5</f>
        <v>1.68</v>
      </c>
      <c r="L3">
        <f>'Exp 1 - Probe_Characterization'!O5</f>
        <v>0.54900000000000004</v>
      </c>
      <c r="M3">
        <f>'Exp 1 - Probe_Characterization'!P5</f>
        <v>0.66100000000000003</v>
      </c>
      <c r="N3">
        <f>'Exp 1 - Probe_Characterization'!S5</f>
        <v>0.36288900000000007</v>
      </c>
      <c r="O3">
        <f>'Exp 1 - Probe_Characterization'!U5</f>
        <v>0.29404032523230389</v>
      </c>
      <c r="P3">
        <f>'Exp 1 - Probe_Characterization'!V5</f>
        <v>0.10692770210622182</v>
      </c>
      <c r="Q3">
        <f>'Exp 1 - Probe_Characterization'!X5</f>
        <v>0</v>
      </c>
      <c r="R3">
        <f t="shared" ref="R3:R34" si="0">IFERROR(IF(OR($J3="",$P3="",$J3=0),"",$P3/$J3*100),"")</f>
        <v>28.138868975321529</v>
      </c>
      <c r="S3">
        <f>'Exp 1 - Probe_Characterization'!AA5</f>
        <v>0.1127875605443156</v>
      </c>
      <c r="T3">
        <f>'Exp 1 - Probe_Characterization'!AM5</f>
        <v>26</v>
      </c>
      <c r="U3">
        <f>'Exp 1 - Probe_Characterization'!AO5</f>
        <v>0</v>
      </c>
      <c r="V3">
        <f>IF($L3="","",$L3*Equipment!$B$16/100)</f>
        <v>1.6470000000000002E-2</v>
      </c>
      <c r="W3">
        <f>IF($P3="","",$P3*Equipment!$B$19/100)</f>
        <v>6.4156621263733093E-3</v>
      </c>
      <c r="X3" t="str">
        <f t="shared" ref="X3:X34" si="1">IF(R3="","",IF(OR(R3&gt;105,R3&lt;-5),"⚠ suspect (déphasage/deskew probable)",IF(R3&gt;90,"△ à surveiller (&gt;90%)","ok")))</f>
        <v>ok</v>
      </c>
      <c r="Y3">
        <f>'Exp 1 - Probe_Characterization'!AR5</f>
        <v>0</v>
      </c>
    </row>
    <row r="4" spans="1:25" x14ac:dyDescent="0.3">
      <c r="A4" t="s">
        <v>16</v>
      </c>
      <c r="B4" t="str">
        <f>'Exp 1 - Probe_Characterization'!A6</f>
        <v>BLOCK 1</v>
      </c>
      <c r="C4" t="str">
        <f>'Exp 1 - Probe_Characterization'!C6</f>
        <v>SQUARE</v>
      </c>
      <c r="D4">
        <f>'Exp 1 - Probe_Characterization'!D6</f>
        <v>0</v>
      </c>
      <c r="E4">
        <f>'Exp 1 - Probe_Characterization'!E6</f>
        <v>20</v>
      </c>
      <c r="F4">
        <f>'Exp 1 - Probe_Characterization'!G6</f>
        <v>100</v>
      </c>
      <c r="G4">
        <f>'Exp 1 - Probe_Characterization'!H6</f>
        <v>2</v>
      </c>
      <c r="H4">
        <f>'Exp 1 - Probe_Characterization'!I6</f>
        <v>2</v>
      </c>
      <c r="I4">
        <f>'Exp 1 - Probe_Characterization'!L6</f>
        <v>0.55000000000000004</v>
      </c>
      <c r="J4">
        <f>'Exp 1 - Probe_Characterization'!M6</f>
        <v>1.1000000000000001</v>
      </c>
      <c r="K4">
        <f>'Exp 1 - Probe_Characterization'!N6</f>
        <v>2.4300000000000002</v>
      </c>
      <c r="L4">
        <f>'Exp 1 - Probe_Characterization'!O6</f>
        <v>0.75700000000000001</v>
      </c>
      <c r="M4">
        <f>'Exp 1 - Probe_Characterization'!P6</f>
        <v>0.91200000000000003</v>
      </c>
      <c r="N4">
        <f>'Exp 1 - Probe_Characterization'!S6</f>
        <v>0.690384</v>
      </c>
      <c r="O4">
        <f>'Exp 1 - Probe_Characterization'!U6</f>
        <v>0.27731465330237792</v>
      </c>
      <c r="P4">
        <f>'Exp 1 - Probe_Characterization'!V6</f>
        <v>0.19188727674770589</v>
      </c>
      <c r="Q4">
        <f>'Exp 1 - Probe_Characterization'!X6</f>
        <v>0</v>
      </c>
      <c r="R4">
        <f t="shared" si="0"/>
        <v>17.444297886155081</v>
      </c>
      <c r="S4">
        <f>'Exp 1 - Probe_Characterization'!AA6</f>
        <v>0.10703821529153999</v>
      </c>
      <c r="T4">
        <f>'Exp 1 - Probe_Characterization'!AM6</f>
        <v>30</v>
      </c>
      <c r="U4">
        <f>'Exp 1 - Probe_Characterization'!AO6</f>
        <v>0</v>
      </c>
      <c r="V4">
        <f>IF($L4="","",$L4*Equipment!$B$16/100)</f>
        <v>2.2709999999999998E-2</v>
      </c>
      <c r="W4">
        <f>IF($P4="","",$P4*Equipment!$B$19/100)</f>
        <v>1.1513236604862354E-2</v>
      </c>
      <c r="X4" t="str">
        <f t="shared" si="1"/>
        <v>ok</v>
      </c>
      <c r="Y4">
        <f>'Exp 1 - Probe_Characterization'!AR6</f>
        <v>0</v>
      </c>
    </row>
    <row r="5" spans="1:25" x14ac:dyDescent="0.3">
      <c r="A5" t="s">
        <v>16</v>
      </c>
      <c r="B5" t="str">
        <f>'Exp 1 - Probe_Characterization'!A7</f>
        <v>BLOCK 1</v>
      </c>
      <c r="C5" t="str">
        <f>'Exp 1 - Probe_Characterization'!C7</f>
        <v>SQUARE</v>
      </c>
      <c r="D5">
        <f>'Exp 1 - Probe_Characterization'!D7</f>
        <v>0</v>
      </c>
      <c r="E5">
        <f>'Exp 1 - Probe_Characterization'!E7</f>
        <v>20</v>
      </c>
      <c r="F5">
        <f>'Exp 1 - Probe_Characterization'!G7</f>
        <v>100</v>
      </c>
      <c r="G5">
        <f>'Exp 1 - Probe_Characterization'!H7</f>
        <v>3</v>
      </c>
      <c r="H5">
        <f>'Exp 1 - Probe_Characterization'!I7</f>
        <v>2.99</v>
      </c>
      <c r="I5">
        <f>'Exp 1 - Probe_Characterization'!L7</f>
        <v>0.75</v>
      </c>
      <c r="J5">
        <f>'Exp 1 - Probe_Characterization'!M7</f>
        <v>2.25</v>
      </c>
      <c r="K5">
        <f>'Exp 1 - Probe_Characterization'!N7</f>
        <v>3.38</v>
      </c>
      <c r="L5">
        <f>'Exp 1 - Probe_Characterization'!O7</f>
        <v>1.08</v>
      </c>
      <c r="M5">
        <f>'Exp 1 - Probe_Characterization'!P7</f>
        <v>1.32</v>
      </c>
      <c r="N5">
        <f>'Exp 1 - Probe_Characterization'!S7</f>
        <v>1.4256000000000002</v>
      </c>
      <c r="O5">
        <f>'Exp 1 - Probe_Characterization'!U7</f>
        <v>0.28401534470392276</v>
      </c>
      <c r="P5">
        <f>'Exp 1 - Probe_Characterization'!V7</f>
        <v>0.4057811263712317</v>
      </c>
      <c r="Q5">
        <f>'Exp 1 - Probe_Characterization'!X7</f>
        <v>0</v>
      </c>
      <c r="R5">
        <f t="shared" si="0"/>
        <v>18.034716727610299</v>
      </c>
      <c r="S5">
        <f>'Exp 1 - Probe_Characterization'!AA7</f>
        <v>0.13592898577190962</v>
      </c>
      <c r="T5">
        <f>'Exp 1 - Probe_Characterization'!AM7</f>
        <v>35</v>
      </c>
      <c r="U5">
        <f>'Exp 1 - Probe_Characterization'!AO7</f>
        <v>0</v>
      </c>
      <c r="V5">
        <f>IF($L5="","",$L5*Equipment!$B$16/100)</f>
        <v>3.2400000000000005E-2</v>
      </c>
      <c r="W5">
        <f>IF($P5="","",$P5*Equipment!$B$19/100)</f>
        <v>2.4346867582273904E-2</v>
      </c>
      <c r="X5" t="str">
        <f t="shared" si="1"/>
        <v>ok</v>
      </c>
      <c r="Y5">
        <f>'Exp 1 - Probe_Characterization'!AR7</f>
        <v>0</v>
      </c>
    </row>
    <row r="6" spans="1:25" x14ac:dyDescent="0.3">
      <c r="A6" t="s">
        <v>16</v>
      </c>
      <c r="B6" t="str">
        <f>'Exp 1 - Probe_Characterization'!A8</f>
        <v>BLOCK 1</v>
      </c>
      <c r="C6" t="str">
        <f>'Exp 1 - Probe_Characterization'!C8</f>
        <v>SQUARE</v>
      </c>
      <c r="D6">
        <f>'Exp 1 - Probe_Characterization'!D8</f>
        <v>0</v>
      </c>
      <c r="E6">
        <f>'Exp 1 - Probe_Characterization'!E8</f>
        <v>20</v>
      </c>
      <c r="F6">
        <f>'Exp 1 - Probe_Characterization'!G8</f>
        <v>100</v>
      </c>
      <c r="G6">
        <f>'Exp 1 - Probe_Characterization'!H8</f>
        <v>4</v>
      </c>
      <c r="H6">
        <f>'Exp 1 - Probe_Characterization'!I8</f>
        <v>3.97</v>
      </c>
      <c r="I6">
        <f>'Exp 1 - Probe_Characterization'!L8</f>
        <v>1.69</v>
      </c>
      <c r="J6">
        <f>'Exp 1 - Probe_Characterization'!M8</f>
        <v>6.76</v>
      </c>
      <c r="K6">
        <f>'Exp 1 - Probe_Characterization'!N8</f>
        <v>8.15</v>
      </c>
      <c r="L6">
        <f>'Exp 1 - Probe_Characterization'!O8</f>
        <v>2.69</v>
      </c>
      <c r="M6">
        <f>'Exp 1 - Probe_Characterization'!P8</f>
        <v>3.25</v>
      </c>
      <c r="N6">
        <f>'Exp 1 - Probe_Characterization'!S8</f>
        <v>8.7424999999999997</v>
      </c>
      <c r="O6">
        <f>'Exp 1 - Probe_Characterization'!U8</f>
        <v>0.2689198206152657</v>
      </c>
      <c r="P6">
        <f>'Exp 1 - Probe_Characterization'!V8</f>
        <v>2.3565741765177046</v>
      </c>
      <c r="Q6">
        <f>'Exp 1 - Probe_Characterization'!X8</f>
        <v>0</v>
      </c>
      <c r="R6">
        <f t="shared" si="0"/>
        <v>34.860564741386163</v>
      </c>
      <c r="S6">
        <f>'Exp 1 - Probe_Characterization'!AA8</f>
        <v>0.12712097133468733</v>
      </c>
      <c r="T6">
        <f>'Exp 1 - Probe_Characterization'!AM8</f>
        <v>47</v>
      </c>
      <c r="U6">
        <f>'Exp 1 - Probe_Characterization'!AO8</f>
        <v>0</v>
      </c>
      <c r="V6">
        <f>IF($L6="","",$L6*Equipment!$B$16/100)</f>
        <v>8.0700000000000008E-2</v>
      </c>
      <c r="W6">
        <f>IF($P6="","",$P6*Equipment!$B$19/100)</f>
        <v>0.14139445059106229</v>
      </c>
      <c r="X6" t="str">
        <f t="shared" si="1"/>
        <v>ok</v>
      </c>
      <c r="Y6">
        <f>'Exp 1 - Probe_Characterization'!AR8</f>
        <v>0</v>
      </c>
    </row>
    <row r="7" spans="1:25" x14ac:dyDescent="0.3">
      <c r="A7" t="s">
        <v>16</v>
      </c>
      <c r="B7" t="str">
        <f>'Exp 1 - Probe_Characterization'!A9</f>
        <v>BLOCK 1</v>
      </c>
      <c r="C7" t="str">
        <f>'Exp 1 - Probe_Characterization'!C9</f>
        <v>SQUARE</v>
      </c>
      <c r="D7">
        <f>'Exp 1 - Probe_Characterization'!D9</f>
        <v>0</v>
      </c>
      <c r="E7">
        <f>'Exp 1 - Probe_Characterization'!E9</f>
        <v>20</v>
      </c>
      <c r="F7">
        <f>'Exp 1 - Probe_Characterization'!G9</f>
        <v>100</v>
      </c>
      <c r="G7">
        <f>'Exp 1 - Probe_Characterization'!H9</f>
        <v>5</v>
      </c>
      <c r="H7">
        <f>'Exp 1 - Probe_Characterization'!I9</f>
        <v>4.8499999999999996</v>
      </c>
      <c r="I7">
        <f>'Exp 1 - Probe_Characterization'!L9</f>
        <v>2.16</v>
      </c>
      <c r="J7">
        <f>'Exp 1 - Probe_Characterization'!M9</f>
        <v>10.8</v>
      </c>
      <c r="K7">
        <f>'Exp 1 - Probe_Characterization'!N9</f>
        <v>11.45</v>
      </c>
      <c r="L7">
        <f>'Exp 1 - Probe_Characterization'!O9</f>
        <v>4.0599999999999996</v>
      </c>
      <c r="M7">
        <f>'Exp 1 - Probe_Characterization'!P9</f>
        <v>4.78</v>
      </c>
      <c r="N7">
        <f>'Exp 1 - Probe_Characterization'!S9</f>
        <v>19.4068</v>
      </c>
      <c r="O7">
        <f>'Exp 1 - Probe_Characterization'!U9</f>
        <v>0.28066670892078793</v>
      </c>
      <c r="P7">
        <f>'Exp 1 - Probe_Characterization'!V9</f>
        <v>5.4589880899042038</v>
      </c>
      <c r="Q7">
        <f>'Exp 1 - Probe_Characterization'!X9</f>
        <v>0</v>
      </c>
      <c r="R7">
        <f t="shared" si="0"/>
        <v>50.546186017631513</v>
      </c>
      <c r="S7">
        <f>'Exp 1 - Probe_Characterization'!AA9</f>
        <v>9.1097888220069437E-2</v>
      </c>
      <c r="T7">
        <f>'Exp 1 - Probe_Characterization'!AM9</f>
        <v>52</v>
      </c>
      <c r="U7">
        <f>'Exp 1 - Probe_Characterization'!AO9</f>
        <v>0</v>
      </c>
      <c r="V7">
        <f>IF($L7="","",$L7*Equipment!$B$16/100)</f>
        <v>0.12179999999999999</v>
      </c>
      <c r="W7">
        <f>IF($P7="","",$P7*Equipment!$B$19/100)</f>
        <v>0.32753928539425226</v>
      </c>
      <c r="X7" t="str">
        <f t="shared" si="1"/>
        <v>ok</v>
      </c>
      <c r="Y7">
        <f>'Exp 1 - Probe_Characterization'!AR9</f>
        <v>0</v>
      </c>
    </row>
    <row r="8" spans="1:25" x14ac:dyDescent="0.3">
      <c r="A8" t="s">
        <v>16</v>
      </c>
      <c r="B8" t="str">
        <f>'Exp 1 - Probe_Characterization'!A10</f>
        <v>BLOCK 1</v>
      </c>
      <c r="C8" t="str">
        <f>'Exp 1 - Probe_Characterization'!C10</f>
        <v>SQUARE</v>
      </c>
      <c r="D8">
        <f>'Exp 1 - Probe_Characterization'!D10</f>
        <v>0</v>
      </c>
      <c r="E8">
        <f>'Exp 1 - Probe_Characterization'!E10</f>
        <v>20</v>
      </c>
      <c r="F8">
        <f>'Exp 1 - Probe_Characterization'!G10</f>
        <v>100</v>
      </c>
      <c r="G8">
        <f>'Exp 1 - Probe_Characterization'!H10</f>
        <v>6</v>
      </c>
      <c r="H8">
        <f>'Exp 1 - Probe_Characterization'!I10</f>
        <v>5.86</v>
      </c>
      <c r="I8">
        <f>'Exp 1 - Probe_Characterization'!L10</f>
        <v>2.23</v>
      </c>
      <c r="J8">
        <f>'Exp 1 - Probe_Characterization'!M10</f>
        <v>13.379999999999999</v>
      </c>
      <c r="K8">
        <f>'Exp 1 - Probe_Characterization'!N10</f>
        <v>14.45</v>
      </c>
      <c r="L8">
        <f>'Exp 1 - Probe_Characterization'!O10</f>
        <v>5.14</v>
      </c>
      <c r="M8">
        <f>'Exp 1 - Probe_Characterization'!P10</f>
        <v>5.97</v>
      </c>
      <c r="N8">
        <f>'Exp 1 - Probe_Characterization'!S10</f>
        <v>30.685799999999997</v>
      </c>
      <c r="O8">
        <f>'Exp 1 - Probe_Characterization'!U10</f>
        <v>0.29570805004404671</v>
      </c>
      <c r="P8">
        <f>'Exp 1 - Probe_Characterization'!V10</f>
        <v>9.0929181807134682</v>
      </c>
      <c r="Q8">
        <f>'Exp 1 - Probe_Characterization'!X10</f>
        <v>0</v>
      </c>
      <c r="R8">
        <f t="shared" si="0"/>
        <v>67.959029751221749</v>
      </c>
      <c r="S8">
        <f>'Exp 1 - Probe_Characterization'!AA10</f>
        <v>8.2528204207582181E-2</v>
      </c>
      <c r="T8">
        <f>'Exp 1 - Probe_Characterization'!AM10</f>
        <v>52</v>
      </c>
      <c r="U8">
        <f>'Exp 1 - Probe_Characterization'!AO10</f>
        <v>0</v>
      </c>
      <c r="V8">
        <f>IF($L8="","",$L8*Equipment!$B$16/100)</f>
        <v>0.15419999999999998</v>
      </c>
      <c r="W8">
        <f>IF($P8="","",$P8*Equipment!$B$19/100)</f>
        <v>0.54557509084280809</v>
      </c>
      <c r="X8" t="str">
        <f t="shared" si="1"/>
        <v>ok</v>
      </c>
      <c r="Y8">
        <f>'Exp 1 - Probe_Characterization'!AR10</f>
        <v>0</v>
      </c>
    </row>
    <row r="9" spans="1:25" x14ac:dyDescent="0.3">
      <c r="A9" t="s">
        <v>16</v>
      </c>
      <c r="B9" t="str">
        <f>'Exp 1 - Probe_Characterization'!A11</f>
        <v>BLOCK 1</v>
      </c>
      <c r="C9" t="str">
        <f>'Exp 1 - Probe_Characterization'!C11</f>
        <v>SQUARE</v>
      </c>
      <c r="D9">
        <f>'Exp 1 - Probe_Characterization'!D11</f>
        <v>0</v>
      </c>
      <c r="E9">
        <f>'Exp 1 - Probe_Characterization'!E11</f>
        <v>20</v>
      </c>
      <c r="F9">
        <f>'Exp 1 - Probe_Characterization'!G11</f>
        <v>100</v>
      </c>
      <c r="G9">
        <f>'Exp 1 - Probe_Characterization'!H11</f>
        <v>7</v>
      </c>
      <c r="H9">
        <f>'Exp 1 - Probe_Characterization'!I11</f>
        <v>6.68</v>
      </c>
      <c r="I9">
        <f>'Exp 1 - Probe_Characterization'!L11</f>
        <v>2.29</v>
      </c>
      <c r="J9">
        <f>'Exp 1 - Probe_Characterization'!M11</f>
        <v>16.03</v>
      </c>
      <c r="K9">
        <f>'Exp 1 - Probe_Characterization'!N11</f>
        <v>16.440000000000001</v>
      </c>
      <c r="L9">
        <f>'Exp 1 - Probe_Characterization'!O11</f>
        <v>5.91</v>
      </c>
      <c r="M9">
        <f>'Exp 1 - Probe_Characterization'!P11</f>
        <v>6.97</v>
      </c>
      <c r="N9">
        <f>'Exp 1 - Probe_Characterization'!S11</f>
        <v>41.192700000000002</v>
      </c>
      <c r="O9">
        <f>'Exp 1 - Probe_Characterization'!U11</f>
        <v>0.30070579950427306</v>
      </c>
      <c r="P9">
        <f>'Exp 1 - Probe_Characterization'!V11</f>
        <v>12.412082748259623</v>
      </c>
      <c r="Q9">
        <f>'Exp 1 - Probe_Characterization'!X11</f>
        <v>0</v>
      </c>
      <c r="R9">
        <f t="shared" si="0"/>
        <v>77.430335297938996</v>
      </c>
      <c r="S9">
        <f>'Exp 1 - Probe_Characterization'!AA11</f>
        <v>9.1291696848399564E-2</v>
      </c>
      <c r="T9">
        <f>'Exp 1 - Probe_Characterization'!AM11</f>
        <v>52</v>
      </c>
      <c r="U9">
        <f>'Exp 1 - Probe_Characterization'!AO11</f>
        <v>0</v>
      </c>
      <c r="V9">
        <f>IF($L9="","",$L9*Equipment!$B$16/100)</f>
        <v>0.17730000000000001</v>
      </c>
      <c r="W9">
        <f>IF($P9="","",$P9*Equipment!$B$19/100)</f>
        <v>0.74472496489557738</v>
      </c>
      <c r="X9" t="str">
        <f t="shared" si="1"/>
        <v>ok</v>
      </c>
      <c r="Y9">
        <f>'Exp 1 - Probe_Characterization'!AR11</f>
        <v>0</v>
      </c>
    </row>
    <row r="10" spans="1:25" x14ac:dyDescent="0.3">
      <c r="A10" t="s">
        <v>16</v>
      </c>
      <c r="B10" t="str">
        <f>'Exp 1 - Probe_Characterization'!A12</f>
        <v>BLOCK 1</v>
      </c>
      <c r="C10" t="str">
        <f>'Exp 1 - Probe_Characterization'!C12</f>
        <v>SQUARE</v>
      </c>
      <c r="D10">
        <f>'Exp 1 - Probe_Characterization'!D12</f>
        <v>0</v>
      </c>
      <c r="E10">
        <f>'Exp 1 - Probe_Characterization'!E12</f>
        <v>20</v>
      </c>
      <c r="F10">
        <f>'Exp 1 - Probe_Characterization'!G12</f>
        <v>100</v>
      </c>
      <c r="G10">
        <f>'Exp 1 - Probe_Characterization'!H12</f>
        <v>8</v>
      </c>
      <c r="H10">
        <f>'Exp 1 - Probe_Characterization'!I12</f>
        <v>7.67</v>
      </c>
      <c r="I10">
        <f>'Exp 1 - Probe_Characterization'!L12</f>
        <v>2.4</v>
      </c>
      <c r="J10">
        <f>'Exp 1 - Probe_Characterization'!M12</f>
        <v>19.2</v>
      </c>
      <c r="K10">
        <f>'Exp 1 - Probe_Characterization'!N12</f>
        <v>19.22</v>
      </c>
      <c r="L10">
        <f>'Exp 1 - Probe_Characterization'!O12</f>
        <v>6.86</v>
      </c>
      <c r="M10">
        <f>'Exp 1 - Probe_Characterization'!P12</f>
        <v>8.27</v>
      </c>
      <c r="N10">
        <f>'Exp 1 - Probe_Characterization'!S12</f>
        <v>56.732199999999999</v>
      </c>
      <c r="O10">
        <f>'Exp 1 - Probe_Characterization'!U12</f>
        <v>0.30569530496310571</v>
      </c>
      <c r="P10">
        <f>'Exp 1 - Probe_Characterization'!V12</f>
        <v>17.377270989521136</v>
      </c>
      <c r="Q10">
        <f>'Exp 1 - Probe_Characterization'!X12</f>
        <v>0</v>
      </c>
      <c r="R10">
        <f t="shared" si="0"/>
        <v>90.506619737089252</v>
      </c>
      <c r="S10">
        <f>'Exp 1 - Probe_Characterization'!AA12</f>
        <v>9.4634789511295184E-2</v>
      </c>
      <c r="T10">
        <f>'Exp 1 - Probe_Characterization'!AM12</f>
        <v>52</v>
      </c>
      <c r="U10">
        <f>'Exp 1 - Probe_Characterization'!AO12</f>
        <v>0</v>
      </c>
      <c r="V10">
        <f>IF($L10="","",$L10*Equipment!$B$16/100)</f>
        <v>0.20580000000000001</v>
      </c>
      <c r="W10">
        <f>IF($P10="","",$P10*Equipment!$B$19/100)</f>
        <v>1.0426362593712681</v>
      </c>
      <c r="X10" t="str">
        <f t="shared" si="1"/>
        <v>△ à surveiller (&gt;90%)</v>
      </c>
      <c r="Y10">
        <f>'Exp 1 - Probe_Characterization'!AR12</f>
        <v>0</v>
      </c>
    </row>
    <row r="11" spans="1:25" x14ac:dyDescent="0.3">
      <c r="A11" t="s">
        <v>16</v>
      </c>
      <c r="B11" t="str">
        <f>'Exp 1 - Probe_Characterization'!A13</f>
        <v>BLOCK 1</v>
      </c>
      <c r="C11" t="str">
        <f>'Exp 1 - Probe_Characterization'!C13</f>
        <v>SQUARE</v>
      </c>
      <c r="D11">
        <f>'Exp 1 - Probe_Characterization'!D13</f>
        <v>0</v>
      </c>
      <c r="E11">
        <f>'Exp 1 - Probe_Characterization'!E13</f>
        <v>20</v>
      </c>
      <c r="F11">
        <f>'Exp 1 - Probe_Characterization'!G13</f>
        <v>100</v>
      </c>
      <c r="G11">
        <f>'Exp 1 - Probe_Characterization'!H13</f>
        <v>9</v>
      </c>
      <c r="H11">
        <f>'Exp 1 - Probe_Characterization'!I13</f>
        <v>8.74</v>
      </c>
      <c r="I11">
        <f>'Exp 1 - Probe_Characterization'!L13</f>
        <v>2.58</v>
      </c>
      <c r="J11">
        <f>'Exp 1 - Probe_Characterization'!M13</f>
        <v>23.22</v>
      </c>
      <c r="K11">
        <f>'Exp 1 - Probe_Characterization'!N13</f>
        <v>22.54</v>
      </c>
      <c r="L11">
        <f>'Exp 1 - Probe_Characterization'!O13</f>
        <v>8.0399999999999991</v>
      </c>
      <c r="M11">
        <f>'Exp 1 - Probe_Characterization'!P13</f>
        <v>9.7799999999999994</v>
      </c>
      <c r="N11">
        <f>'Exp 1 - Probe_Characterization'!S13</f>
        <v>78.631199999999993</v>
      </c>
      <c r="O11">
        <f>'Exp 1 - Probe_Characterization'!U13</f>
        <v>0.29070219359825261</v>
      </c>
      <c r="P11">
        <f>'Exp 1 - Probe_Characterization'!V13</f>
        <v>22.906919370067605</v>
      </c>
      <c r="Q11">
        <f>'Exp 1 - Probe_Characterization'!X13</f>
        <v>0</v>
      </c>
      <c r="R11">
        <f t="shared" si="0"/>
        <v>98.651676873676166</v>
      </c>
      <c r="S11">
        <f>'Exp 1 - Probe_Characterization'!AA13</f>
        <v>8.8795344462480275E-2</v>
      </c>
      <c r="T11">
        <f>'Exp 1 - Probe_Characterization'!AM13</f>
        <v>52</v>
      </c>
      <c r="U11">
        <f>'Exp 1 - Probe_Characterization'!AO13</f>
        <v>0</v>
      </c>
      <c r="V11">
        <f>IF($L11="","",$L11*Equipment!$B$16/100)</f>
        <v>0.24119999999999997</v>
      </c>
      <c r="W11">
        <f>IF($P11="","",$P11*Equipment!$B$19/100)</f>
        <v>1.3744151622040561</v>
      </c>
      <c r="X11" t="str">
        <f t="shared" si="1"/>
        <v>△ à surveiller (&gt;90%)</v>
      </c>
      <c r="Y11">
        <f>'Exp 1 - Probe_Characterization'!AR13</f>
        <v>0</v>
      </c>
    </row>
    <row r="12" spans="1:25" x14ac:dyDescent="0.3">
      <c r="A12" t="s">
        <v>16</v>
      </c>
      <c r="B12" t="str">
        <f>'Exp 1 - Probe_Characterization'!A14</f>
        <v>BLOCK 1</v>
      </c>
      <c r="C12" t="str">
        <f>'Exp 1 - Probe_Characterization'!C14</f>
        <v>SQUARE</v>
      </c>
      <c r="D12">
        <f>'Exp 1 - Probe_Characterization'!D14</f>
        <v>0</v>
      </c>
      <c r="E12">
        <f>'Exp 1 - Probe_Characterization'!E14</f>
        <v>20</v>
      </c>
      <c r="F12">
        <f>'Exp 1 - Probe_Characterization'!G14</f>
        <v>100</v>
      </c>
      <c r="G12">
        <f>'Exp 1 - Probe_Characterization'!H14</f>
        <v>10</v>
      </c>
      <c r="H12">
        <f>'Exp 1 - Probe_Characterization'!I14</f>
        <v>9.7799999999999994</v>
      </c>
      <c r="I12">
        <f>'Exp 1 - Probe_Characterization'!L14</f>
        <v>2.88</v>
      </c>
      <c r="J12">
        <f>'Exp 1 - Probe_Characterization'!M14</f>
        <v>28.799999999999997</v>
      </c>
      <c r="K12">
        <f>'Exp 1 - Probe_Characterization'!N14</f>
        <v>25.65</v>
      </c>
      <c r="L12">
        <f>'Exp 1 - Probe_Characterization'!O14</f>
        <v>9.15</v>
      </c>
      <c r="M12">
        <f>'Exp 1 - Probe_Characterization'!P14</f>
        <v>11.37</v>
      </c>
      <c r="N12">
        <f>'Exp 1 - Probe_Characterization'!S14</f>
        <v>104.0355</v>
      </c>
      <c r="O12">
        <f>'Exp 1 - Probe_Characterization'!U14</f>
        <v>0.27731465330237792</v>
      </c>
      <c r="P12">
        <f>'Exp 1 - Probe_Characterization'!V14</f>
        <v>28.915920386460225</v>
      </c>
      <c r="Q12">
        <f>'Exp 1 - Probe_Characterization'!X14</f>
        <v>0</v>
      </c>
      <c r="R12">
        <f t="shared" si="0"/>
        <v>100.40250134187578</v>
      </c>
      <c r="S12">
        <f>'Exp 1 - Probe_Characterization'!AA14</f>
        <v>8.3679384441844668E-2</v>
      </c>
      <c r="T12">
        <f>'Exp 1 - Probe_Characterization'!AM14</f>
        <v>52</v>
      </c>
      <c r="U12">
        <f>'Exp 1 - Probe_Characterization'!AO14</f>
        <v>0</v>
      </c>
      <c r="V12">
        <f>IF($L12="","",$L12*Equipment!$B$16/100)</f>
        <v>0.27450000000000002</v>
      </c>
      <c r="W12">
        <f>IF($P12="","",$P12*Equipment!$B$19/100)</f>
        <v>1.7349552231876135</v>
      </c>
      <c r="X12" t="str">
        <f t="shared" si="1"/>
        <v>△ à surveiller (&gt;90%)</v>
      </c>
      <c r="Y12">
        <f>'Exp 1 - Probe_Characterization'!AR14</f>
        <v>0</v>
      </c>
    </row>
    <row r="13" spans="1:25" x14ac:dyDescent="0.3">
      <c r="A13" t="s">
        <v>16</v>
      </c>
      <c r="B13" t="str">
        <f>'Exp 1 - Probe_Characterization'!A16</f>
        <v>BLOCK 2</v>
      </c>
      <c r="C13" t="str">
        <f>'Exp 1 - Probe_Characterization'!C16</f>
        <v>SQUARE</v>
      </c>
      <c r="D13">
        <f>'Exp 1 - Probe_Characterization'!D16</f>
        <v>0</v>
      </c>
      <c r="E13">
        <f>'Exp 1 - Probe_Characterization'!E16</f>
        <v>10</v>
      </c>
      <c r="F13">
        <f>'Exp 1 - Probe_Characterization'!G16</f>
        <v>100</v>
      </c>
      <c r="G13">
        <f>'Exp 1 - Probe_Characterization'!H16</f>
        <v>1</v>
      </c>
      <c r="H13">
        <f>'Exp 1 - Probe_Characterization'!I16</f>
        <v>0.995</v>
      </c>
      <c r="I13">
        <f>'Exp 1 - Probe_Characterization'!L16</f>
        <v>0.12</v>
      </c>
      <c r="J13">
        <f>'Exp 1 - Probe_Characterization'!M16</f>
        <v>0.12</v>
      </c>
      <c r="K13">
        <f>'Exp 1 - Probe_Characterization'!N16</f>
        <v>2.08</v>
      </c>
      <c r="L13">
        <f>'Exp 1 - Probe_Characterization'!O16</f>
        <v>0.69499999999999995</v>
      </c>
      <c r="M13">
        <f>'Exp 1 - Probe_Characterization'!P16</f>
        <v>0.41699999999999998</v>
      </c>
      <c r="N13">
        <f>'Exp 1 - Probe_Characterization'!S16</f>
        <v>0.28981499999999999</v>
      </c>
      <c r="O13">
        <f>'Exp 1 - Probe_Characterization'!U16</f>
        <v>0.28401534470392276</v>
      </c>
      <c r="P13">
        <f>'Exp 1 - Probe_Characterization'!V16</f>
        <v>8.2492604615094348E-2</v>
      </c>
      <c r="Q13">
        <f>'Exp 1 - Probe_Characterization'!X16</f>
        <v>0</v>
      </c>
      <c r="R13">
        <f t="shared" si="0"/>
        <v>68.74383717924529</v>
      </c>
      <c r="S13">
        <f>'Exp 1 - Probe_Characterization'!AA16</f>
        <v>0.33204856552872775</v>
      </c>
      <c r="T13">
        <f>'Exp 1 - Probe_Characterization'!AM16</f>
        <v>25</v>
      </c>
      <c r="U13">
        <f>'Exp 1 - Probe_Characterization'!AO16</f>
        <v>0</v>
      </c>
      <c r="V13">
        <f>IF($L13="","",$L13*Equipment!$B$16/100)</f>
        <v>2.085E-2</v>
      </c>
      <c r="W13">
        <f>IF($P13="","",$P13*Equipment!$B$19/100)</f>
        <v>4.9495562769056615E-3</v>
      </c>
      <c r="X13" t="str">
        <f t="shared" si="1"/>
        <v>ok</v>
      </c>
      <c r="Y13" t="str">
        <f>'Exp 1 - Probe_Characterization'!AR16</f>
        <v>Distorted sine</v>
      </c>
    </row>
    <row r="14" spans="1:25" x14ac:dyDescent="0.3">
      <c r="A14" t="s">
        <v>16</v>
      </c>
      <c r="B14" t="str">
        <f>'Exp 1 - Probe_Characterization'!A17</f>
        <v>BLOCK 2</v>
      </c>
      <c r="C14" t="str">
        <f>'Exp 1 - Probe_Characterization'!C17</f>
        <v>SQUARE</v>
      </c>
      <c r="D14">
        <f>'Exp 1 - Probe_Characterization'!D17</f>
        <v>0</v>
      </c>
      <c r="E14">
        <f>'Exp 1 - Probe_Characterization'!E17</f>
        <v>10</v>
      </c>
      <c r="F14">
        <f>'Exp 1 - Probe_Characterization'!G17</f>
        <v>100</v>
      </c>
      <c r="G14">
        <f>'Exp 1 - Probe_Characterization'!H17</f>
        <v>2</v>
      </c>
      <c r="H14">
        <f>'Exp 1 - Probe_Characterization'!I17</f>
        <v>1.9990000000000001</v>
      </c>
      <c r="I14">
        <f>'Exp 1 - Probe_Characterization'!L17</f>
        <v>0.17</v>
      </c>
      <c r="J14">
        <f>'Exp 1 - Probe_Characterization'!M17</f>
        <v>0.34</v>
      </c>
      <c r="K14">
        <f>'Exp 1 - Probe_Characterization'!N17</f>
        <v>3.81</v>
      </c>
      <c r="L14">
        <f>'Exp 1 - Probe_Characterization'!O17</f>
        <v>1.31</v>
      </c>
      <c r="M14">
        <f>'Exp 1 - Probe_Characterization'!P17</f>
        <v>0.57499999999999996</v>
      </c>
      <c r="N14">
        <f>'Exp 1 - Probe_Characterization'!S17</f>
        <v>0.75324999999999998</v>
      </c>
      <c r="O14">
        <f>'Exp 1 - Probe_Characterization'!U17</f>
        <v>0.37622426313936563</v>
      </c>
      <c r="P14">
        <f>'Exp 1 - Probe_Characterization'!V17</f>
        <v>0.2838101670428187</v>
      </c>
      <c r="Q14">
        <f>'Exp 1 - Probe_Characterization'!X17</f>
        <v>0</v>
      </c>
      <c r="R14">
        <f t="shared" si="0"/>
        <v>83.473578542005484</v>
      </c>
      <c r="S14">
        <f>'Exp 1 - Probe_Characterization'!AA17</f>
        <v>0.19774221336929737</v>
      </c>
      <c r="T14">
        <f>'Exp 1 - Probe_Characterization'!AM17</f>
        <v>25</v>
      </c>
      <c r="U14">
        <f>'Exp 1 - Probe_Characterization'!AO17</f>
        <v>0</v>
      </c>
      <c r="V14">
        <f>IF($L14="","",$L14*Equipment!$B$16/100)</f>
        <v>3.9300000000000002E-2</v>
      </c>
      <c r="W14">
        <f>IF($P14="","",$P14*Equipment!$B$19/100)</f>
        <v>1.7028610022569123E-2</v>
      </c>
      <c r="X14" t="str">
        <f t="shared" si="1"/>
        <v>ok</v>
      </c>
      <c r="Y14">
        <f>'Exp 1 - Probe_Characterization'!AR17</f>
        <v>0</v>
      </c>
    </row>
    <row r="15" spans="1:25" x14ac:dyDescent="0.3">
      <c r="A15" t="s">
        <v>16</v>
      </c>
      <c r="B15" t="str">
        <f>'Exp 1 - Probe_Characterization'!A18</f>
        <v>BLOCK 2</v>
      </c>
      <c r="C15" t="str">
        <f>'Exp 1 - Probe_Characterization'!C18</f>
        <v>SQUARE</v>
      </c>
      <c r="D15">
        <f>'Exp 1 - Probe_Characterization'!D18</f>
        <v>0</v>
      </c>
      <c r="E15">
        <f>'Exp 1 - Probe_Characterization'!E18</f>
        <v>10</v>
      </c>
      <c r="F15">
        <f>'Exp 1 - Probe_Characterization'!G18</f>
        <v>100</v>
      </c>
      <c r="G15">
        <f>'Exp 1 - Probe_Characterization'!H18</f>
        <v>3</v>
      </c>
      <c r="H15">
        <f>'Exp 1 - Probe_Characterization'!I18</f>
        <v>2.98</v>
      </c>
      <c r="I15">
        <f>'Exp 1 - Probe_Characterization'!L18</f>
        <v>0.27</v>
      </c>
      <c r="J15">
        <f>'Exp 1 - Probe_Characterization'!M18</f>
        <v>0.81</v>
      </c>
      <c r="K15">
        <f>'Exp 1 - Probe_Characterization'!N18</f>
        <v>5.36</v>
      </c>
      <c r="L15">
        <f>'Exp 1 - Probe_Characterization'!O18</f>
        <v>1.909</v>
      </c>
      <c r="M15">
        <f>'Exp 1 - Probe_Characterization'!P18</f>
        <v>0.69599999999999995</v>
      </c>
      <c r="N15">
        <f>'Exp 1 - Probe_Characterization'!S18</f>
        <v>1.3286639999999998</v>
      </c>
      <c r="O15">
        <f>'Exp 1 - Probe_Characterization'!U18</f>
        <v>0.47562420907027531</v>
      </c>
      <c r="P15">
        <f>'Exp 1 - Probe_Characterization'!V18</f>
        <v>0.63258169144680665</v>
      </c>
      <c r="Q15">
        <f>'Exp 1 - Probe_Characterization'!X18</f>
        <v>0</v>
      </c>
      <c r="R15">
        <f t="shared" si="0"/>
        <v>78.096505116889702</v>
      </c>
      <c r="S15">
        <f>'Exp 1 - Probe_Characterization'!AA18</f>
        <v>0.12343829261397385</v>
      </c>
      <c r="T15">
        <f>'Exp 1 - Probe_Characterization'!AM18</f>
        <v>25</v>
      </c>
      <c r="U15">
        <f>'Exp 1 - Probe_Characterization'!AO18</f>
        <v>0</v>
      </c>
      <c r="V15">
        <f>IF($L15="","",$L15*Equipment!$B$16/100)</f>
        <v>5.7270000000000001E-2</v>
      </c>
      <c r="W15">
        <f>IF($P15="","",$P15*Equipment!$B$19/100)</f>
        <v>3.7954901486808398E-2</v>
      </c>
      <c r="X15" t="str">
        <f t="shared" si="1"/>
        <v>ok</v>
      </c>
      <c r="Y15">
        <f>'Exp 1 - Probe_Characterization'!AR18</f>
        <v>0</v>
      </c>
    </row>
    <row r="16" spans="1:25" x14ac:dyDescent="0.3">
      <c r="A16" t="s">
        <v>16</v>
      </c>
      <c r="B16" t="str">
        <f>'Exp 1 - Probe_Characterization'!A19</f>
        <v>BLOCK 2</v>
      </c>
      <c r="C16" t="str">
        <f>'Exp 1 - Probe_Characterization'!C19</f>
        <v>SQUARE</v>
      </c>
      <c r="D16">
        <f>'Exp 1 - Probe_Characterization'!D19</f>
        <v>0</v>
      </c>
      <c r="E16">
        <f>'Exp 1 - Probe_Characterization'!E19</f>
        <v>10</v>
      </c>
      <c r="F16">
        <f>'Exp 1 - Probe_Characterization'!G19</f>
        <v>100</v>
      </c>
      <c r="G16">
        <f>'Exp 1 - Probe_Characterization'!H19</f>
        <v>4</v>
      </c>
      <c r="H16">
        <f>'Exp 1 - Probe_Characterization'!I19</f>
        <v>3.9889999999999999</v>
      </c>
      <c r="I16">
        <f>'Exp 1 - Probe_Characterization'!L19</f>
        <v>0.33</v>
      </c>
      <c r="J16">
        <f>'Exp 1 - Probe_Characterization'!M19</f>
        <v>1.32</v>
      </c>
      <c r="K16">
        <f>'Exp 1 - Probe_Characterization'!N19</f>
        <v>6.98</v>
      </c>
      <c r="L16">
        <f>'Exp 1 - Probe_Characterization'!O19</f>
        <v>2.5089999999999999</v>
      </c>
      <c r="M16">
        <f>'Exp 1 - Probe_Characterization'!P19</f>
        <v>0.83299999999999996</v>
      </c>
      <c r="N16">
        <f>'Exp 1 - Probe_Characterization'!S19</f>
        <v>2.0899969999999999</v>
      </c>
      <c r="O16">
        <f>'Exp 1 - Probe_Characterization'!U19</f>
        <v>0.46019978478385171</v>
      </c>
      <c r="P16">
        <f>'Exp 1 - Probe_Characterization'!V19</f>
        <v>0.96284378146554361</v>
      </c>
      <c r="Q16">
        <f>'Exp 1 - Probe_Characterization'!X19</f>
        <v>0</v>
      </c>
      <c r="R16">
        <f t="shared" si="0"/>
        <v>72.942710717086641</v>
      </c>
      <c r="S16">
        <f>'Exp 1 - Probe_Characterization'!AA19</f>
        <v>8.4930094719559271E-2</v>
      </c>
      <c r="T16">
        <f>'Exp 1 - Probe_Characterization'!AM19</f>
        <v>26</v>
      </c>
      <c r="U16">
        <f>'Exp 1 - Probe_Characterization'!AO19</f>
        <v>0</v>
      </c>
      <c r="V16">
        <f>IF($L16="","",$L16*Equipment!$B$16/100)</f>
        <v>7.526999999999999E-2</v>
      </c>
      <c r="W16">
        <f>IF($P16="","",$P16*Equipment!$B$19/100)</f>
        <v>5.7770626887932615E-2</v>
      </c>
      <c r="X16" t="str">
        <f t="shared" si="1"/>
        <v>ok</v>
      </c>
      <c r="Y16" t="str">
        <f>'Exp 1 - Probe_Characterization'!AR19</f>
        <v>Sine for the voltage, two peaks for the current</v>
      </c>
    </row>
    <row r="17" spans="1:25" x14ac:dyDescent="0.3">
      <c r="A17" t="s">
        <v>16</v>
      </c>
      <c r="B17" t="str">
        <f>'Exp 1 - Probe_Characterization'!A20</f>
        <v>BLOCK 2</v>
      </c>
      <c r="C17" t="str">
        <f>'Exp 1 - Probe_Characterization'!C20</f>
        <v>SQUARE</v>
      </c>
      <c r="D17">
        <f>'Exp 1 - Probe_Characterization'!D20</f>
        <v>0</v>
      </c>
      <c r="E17">
        <f>'Exp 1 - Probe_Characterization'!E20</f>
        <v>10</v>
      </c>
      <c r="F17">
        <f>'Exp 1 - Probe_Characterization'!G20</f>
        <v>100</v>
      </c>
      <c r="G17">
        <f>'Exp 1 - Probe_Characterization'!H20</f>
        <v>5</v>
      </c>
      <c r="H17">
        <f>'Exp 1 - Probe_Characterization'!I20</f>
        <v>4.9800000000000004</v>
      </c>
      <c r="I17">
        <f>'Exp 1 - Probe_Characterization'!L20</f>
        <v>0.43</v>
      </c>
      <c r="J17">
        <f>'Exp 1 - Probe_Characterization'!M20</f>
        <v>2.15</v>
      </c>
      <c r="K17">
        <f>'Exp 1 - Probe_Characterization'!N20</f>
        <v>8.5299999999999994</v>
      </c>
      <c r="L17">
        <f>'Exp 1 - Probe_Characterization'!O20</f>
        <v>3.09</v>
      </c>
      <c r="M17">
        <f>'Exp 1 - Probe_Characterization'!P20</f>
        <v>1.01</v>
      </c>
      <c r="N17">
        <f>'Exp 1 - Probe_Characterization'!S20</f>
        <v>3.1208999999999998</v>
      </c>
      <c r="O17">
        <f>'Exp 1 - Probe_Characterization'!U20</f>
        <v>0.53287627607073018</v>
      </c>
      <c r="P17">
        <f>'Exp 1 - Probe_Characterization'!V20</f>
        <v>1.6644039502048171</v>
      </c>
      <c r="Q17">
        <f>'Exp 1 - Probe_Characterization'!X20</f>
        <v>0</v>
      </c>
      <c r="R17">
        <f t="shared" si="0"/>
        <v>77.414137218828699</v>
      </c>
      <c r="S17">
        <f>'Exp 1 - Probe_Characterization'!AA20</f>
        <v>8.9989993350547262E-2</v>
      </c>
      <c r="T17">
        <f>'Exp 1 - Probe_Characterization'!AM20</f>
        <v>28</v>
      </c>
      <c r="U17">
        <f>'Exp 1 - Probe_Characterization'!AO20</f>
        <v>0</v>
      </c>
      <c r="V17">
        <f>IF($L17="","",$L17*Equipment!$B$16/100)</f>
        <v>9.2699999999999991E-2</v>
      </c>
      <c r="W17">
        <f>IF($P17="","",$P17*Equipment!$B$19/100)</f>
        <v>9.9864237012289025E-2</v>
      </c>
      <c r="X17" t="str">
        <f t="shared" si="1"/>
        <v>ok</v>
      </c>
      <c r="Y17" t="str">
        <f>'Exp 1 - Probe_Characterization'!AR20</f>
        <v>Same</v>
      </c>
    </row>
    <row r="18" spans="1:25" x14ac:dyDescent="0.3">
      <c r="A18" t="s">
        <v>16</v>
      </c>
      <c r="B18" t="str">
        <f>'Exp 1 - Probe_Characterization'!A21</f>
        <v>BLOCK 2</v>
      </c>
      <c r="C18" t="str">
        <f>'Exp 1 - Probe_Characterization'!C21</f>
        <v>SQUARE</v>
      </c>
      <c r="D18">
        <f>'Exp 1 - Probe_Characterization'!D21</f>
        <v>0</v>
      </c>
      <c r="E18">
        <f>'Exp 1 - Probe_Characterization'!E21</f>
        <v>10</v>
      </c>
      <c r="F18">
        <f>'Exp 1 - Probe_Characterization'!G21</f>
        <v>100</v>
      </c>
      <c r="G18">
        <f>'Exp 1 - Probe_Characterization'!H21</f>
        <v>6</v>
      </c>
      <c r="H18">
        <f>'Exp 1 - Probe_Characterization'!I21</f>
        <v>5.99</v>
      </c>
      <c r="I18">
        <f>'Exp 1 - Probe_Characterization'!L21</f>
        <v>0.52</v>
      </c>
      <c r="J18">
        <f>'Exp 1 - Probe_Characterization'!M21</f>
        <v>3.12</v>
      </c>
      <c r="K18">
        <f>'Exp 1 - Probe_Characterization'!N21</f>
        <v>10.38</v>
      </c>
      <c r="L18">
        <f>'Exp 1 - Probe_Characterization'!O21</f>
        <v>3.7789999999999999</v>
      </c>
      <c r="M18">
        <f>'Exp 1 - Probe_Characterization'!P21</f>
        <v>1.2070000000000001</v>
      </c>
      <c r="N18">
        <f>'Exp 1 - Probe_Characterization'!S21</f>
        <v>4.5612529999999998</v>
      </c>
      <c r="O18">
        <f>'Exp 1 - Probe_Characterization'!U21</f>
        <v>0.51892246052797153</v>
      </c>
      <c r="P18">
        <f>'Exp 1 - Probe_Characterization'!V21</f>
        <v>2.3689627898159977</v>
      </c>
      <c r="Q18">
        <f>'Exp 1 - Probe_Characterization'!X21</f>
        <v>0</v>
      </c>
      <c r="R18">
        <f t="shared" si="0"/>
        <v>75.928294545384546</v>
      </c>
      <c r="S18">
        <f>'Exp 1 - Probe_Characterization'!AA21</f>
        <v>0.17419321043654501</v>
      </c>
      <c r="T18">
        <f>'Exp 1 - Probe_Characterization'!AM21</f>
        <v>29</v>
      </c>
      <c r="U18">
        <f>'Exp 1 - Probe_Characterization'!AO21</f>
        <v>0</v>
      </c>
      <c r="V18">
        <f>IF($L18="","",$L18*Equipment!$B$16/100)</f>
        <v>0.11337</v>
      </c>
      <c r="W18">
        <f>IF($P18="","",$P18*Equipment!$B$19/100)</f>
        <v>0.14213776738895986</v>
      </c>
      <c r="X18" t="str">
        <f t="shared" si="1"/>
        <v>ok</v>
      </c>
      <c r="Y18">
        <f>'Exp 1 - Probe_Characterization'!AR21</f>
        <v>0</v>
      </c>
    </row>
    <row r="19" spans="1:25" x14ac:dyDescent="0.3">
      <c r="A19" t="s">
        <v>16</v>
      </c>
      <c r="B19" t="str">
        <f>'Exp 1 - Probe_Characterization'!A22</f>
        <v>BLOCK 2</v>
      </c>
      <c r="C19" t="str">
        <f>'Exp 1 - Probe_Characterization'!C22</f>
        <v>SQUARE</v>
      </c>
      <c r="D19">
        <f>'Exp 1 - Probe_Characterization'!D22</f>
        <v>0</v>
      </c>
      <c r="E19">
        <f>'Exp 1 - Probe_Characterization'!E22</f>
        <v>10</v>
      </c>
      <c r="F19">
        <f>'Exp 1 - Probe_Characterization'!G22</f>
        <v>100</v>
      </c>
      <c r="G19">
        <f>'Exp 1 - Probe_Characterization'!H22</f>
        <v>7</v>
      </c>
      <c r="H19">
        <f>'Exp 1 - Probe_Characterization'!I22</f>
        <v>6.98</v>
      </c>
      <c r="I19">
        <f>'Exp 1 - Probe_Characterization'!L22</f>
        <v>0.59</v>
      </c>
      <c r="J19">
        <f>'Exp 1 - Probe_Characterization'!M22</f>
        <v>4.13</v>
      </c>
      <c r="K19">
        <f>'Exp 1 - Probe_Characterization'!N22</f>
        <v>12.18</v>
      </c>
      <c r="L19">
        <f>'Exp 1 - Probe_Characterization'!O22</f>
        <v>4.42</v>
      </c>
      <c r="M19">
        <f>'Exp 1 - Probe_Characterization'!P22</f>
        <v>1.4610000000000001</v>
      </c>
      <c r="N19">
        <f>'Exp 1 - Probe_Characterization'!S22</f>
        <v>6.4576200000000004</v>
      </c>
      <c r="O19">
        <f>'Exp 1 - Probe_Characterization'!U22</f>
        <v>0.51832555625993071</v>
      </c>
      <c r="P19">
        <f>'Exp 1 - Probe_Characterization'!V22</f>
        <v>3.350021195784028</v>
      </c>
      <c r="Q19">
        <f>'Exp 1 - Probe_Characterization'!X22</f>
        <v>0</v>
      </c>
      <c r="R19">
        <f t="shared" si="0"/>
        <v>81.114314667894135</v>
      </c>
      <c r="S19">
        <f>'Exp 1 - Probe_Characterization'!AA22</f>
        <v>0.16510592222566542</v>
      </c>
      <c r="T19">
        <f>'Exp 1 - Probe_Characterization'!AM22</f>
        <v>32</v>
      </c>
      <c r="U19">
        <f>'Exp 1 - Probe_Characterization'!AO22</f>
        <v>0</v>
      </c>
      <c r="V19">
        <f>IF($L19="","",$L19*Equipment!$B$16/100)</f>
        <v>0.1326</v>
      </c>
      <c r="W19">
        <f>IF($P19="","",$P19*Equipment!$B$19/100)</f>
        <v>0.20100127174704169</v>
      </c>
      <c r="X19" t="str">
        <f t="shared" si="1"/>
        <v>ok</v>
      </c>
      <c r="Y19">
        <f>'Exp 1 - Probe_Characterization'!AR22</f>
        <v>0</v>
      </c>
    </row>
    <row r="20" spans="1:25" x14ac:dyDescent="0.3">
      <c r="A20" t="s">
        <v>16</v>
      </c>
      <c r="B20" t="str">
        <f>'Exp 1 - Probe_Characterization'!A23</f>
        <v>BLOCK 2</v>
      </c>
      <c r="C20" t="str">
        <f>'Exp 1 - Probe_Characterization'!C23</f>
        <v>SQUARE</v>
      </c>
      <c r="D20">
        <f>'Exp 1 - Probe_Characterization'!D23</f>
        <v>0</v>
      </c>
      <c r="E20">
        <f>'Exp 1 - Probe_Characterization'!E23</f>
        <v>10</v>
      </c>
      <c r="F20">
        <f>'Exp 1 - Probe_Characterization'!G23</f>
        <v>100</v>
      </c>
      <c r="G20">
        <f>'Exp 1 - Probe_Characterization'!H23</f>
        <v>8</v>
      </c>
      <c r="H20">
        <f>'Exp 1 - Probe_Characterization'!I23</f>
        <v>7.99</v>
      </c>
      <c r="I20">
        <f>'Exp 1 - Probe_Characterization'!L23</f>
        <v>0.68</v>
      </c>
      <c r="J20">
        <f>'Exp 1 - Probe_Characterization'!M23</f>
        <v>5.44</v>
      </c>
      <c r="K20">
        <f>'Exp 1 - Probe_Characterization'!N23</f>
        <v>14.57</v>
      </c>
      <c r="L20">
        <f>'Exp 1 - Probe_Characterization'!O23</f>
        <v>5.2110000000000003</v>
      </c>
      <c r="M20">
        <f>'Exp 1 - Probe_Characterization'!P23</f>
        <v>1.9159999999999999</v>
      </c>
      <c r="N20">
        <f>'Exp 1 - Probe_Characterization'!S23</f>
        <v>9.9842759999999995</v>
      </c>
      <c r="O20">
        <f>'Exp 1 - Probe_Characterization'!U23</f>
        <v>0.46638664033989125</v>
      </c>
      <c r="P20">
        <f>'Exp 1 - Probe_Characterization'!V23</f>
        <v>4.6613928735330195</v>
      </c>
      <c r="Q20">
        <f>'Exp 1 - Probe_Characterization'!X23</f>
        <v>0</v>
      </c>
      <c r="R20">
        <f t="shared" si="0"/>
        <v>85.687368998768733</v>
      </c>
      <c r="S20">
        <f>'Exp 1 - Probe_Characterization'!AA23</f>
        <v>0.17163543794832331</v>
      </c>
      <c r="T20">
        <f>'Exp 1 - Probe_Characterization'!AM23</f>
        <v>35</v>
      </c>
      <c r="U20">
        <f>'Exp 1 - Probe_Characterization'!AO23</f>
        <v>0</v>
      </c>
      <c r="V20">
        <f>IF($L20="","",$L20*Equipment!$B$16/100)</f>
        <v>0.15633</v>
      </c>
      <c r="W20">
        <f>IF($P20="","",$P20*Equipment!$B$19/100)</f>
        <v>0.27968357241198116</v>
      </c>
      <c r="X20" t="str">
        <f t="shared" si="1"/>
        <v>ok</v>
      </c>
      <c r="Y20">
        <f>'Exp 1 - Probe_Characterization'!AR23</f>
        <v>0</v>
      </c>
    </row>
    <row r="21" spans="1:25" x14ac:dyDescent="0.3">
      <c r="A21" t="s">
        <v>16</v>
      </c>
      <c r="B21" t="str">
        <f>'Exp 1 - Probe_Characterization'!A24</f>
        <v>BLOCK 2</v>
      </c>
      <c r="C21" t="str">
        <f>'Exp 1 - Probe_Characterization'!C24</f>
        <v>SQUARE</v>
      </c>
      <c r="D21">
        <f>'Exp 1 - Probe_Characterization'!D24</f>
        <v>0</v>
      </c>
      <c r="E21">
        <f>'Exp 1 - Probe_Characterization'!E24</f>
        <v>10</v>
      </c>
      <c r="F21">
        <f>'Exp 1 - Probe_Characterization'!G24</f>
        <v>100</v>
      </c>
      <c r="G21">
        <f>'Exp 1 - Probe_Characterization'!H24</f>
        <v>9</v>
      </c>
      <c r="H21">
        <f>'Exp 1 - Probe_Characterization'!I24</f>
        <v>8.98</v>
      </c>
      <c r="I21">
        <f>'Exp 1 - Probe_Characterization'!L24</f>
        <v>0.7</v>
      </c>
      <c r="J21">
        <f>'Exp 1 - Probe_Characterization'!M24</f>
        <v>6.3</v>
      </c>
      <c r="K21">
        <f>'Exp 1 - Probe_Characterization'!N24</f>
        <v>16.53</v>
      </c>
      <c r="L21">
        <f>'Exp 1 - Probe_Characterization'!O24</f>
        <v>6.0449999999999999</v>
      </c>
      <c r="M21">
        <f>'Exp 1 - Probe_Characterization'!P24</f>
        <v>2.3319999999999999</v>
      </c>
      <c r="N21">
        <f>'Exp 1 - Probe_Characterization'!S24</f>
        <v>14.096939999999998</v>
      </c>
      <c r="O21">
        <f>'Exp 1 - Probe_Characterization'!U24</f>
        <v>0.41628079226040116</v>
      </c>
      <c r="P21">
        <f>'Exp 1 - Probe_Characterization'!V24</f>
        <v>5.8757013655718646</v>
      </c>
      <c r="Q21">
        <f>'Exp 1 - Probe_Characterization'!X24</f>
        <v>0</v>
      </c>
      <c r="R21">
        <f t="shared" si="0"/>
        <v>93.265101040823254</v>
      </c>
      <c r="S21">
        <f>'Exp 1 - Probe_Characterization'!AA24</f>
        <v>0.2750793175883674</v>
      </c>
      <c r="T21">
        <f>'Exp 1 - Probe_Characterization'!AM24</f>
        <v>36</v>
      </c>
      <c r="U21">
        <f>'Exp 1 - Probe_Characterization'!AO24</f>
        <v>0</v>
      </c>
      <c r="V21">
        <f>IF($L21="","",$L21*Equipment!$B$16/100)</f>
        <v>0.18134999999999998</v>
      </c>
      <c r="W21">
        <f>IF($P21="","",$P21*Equipment!$B$19/100)</f>
        <v>0.35254208193431191</v>
      </c>
      <c r="X21" t="str">
        <f t="shared" si="1"/>
        <v>△ à surveiller (&gt;90%)</v>
      </c>
      <c r="Y21">
        <f>'Exp 1 - Probe_Characterization'!AR24</f>
        <v>0</v>
      </c>
    </row>
    <row r="22" spans="1:25" x14ac:dyDescent="0.3">
      <c r="A22" t="s">
        <v>16</v>
      </c>
      <c r="B22" t="str">
        <f>'Exp 1 - Probe_Characterization'!A25</f>
        <v>BLOCK 2</v>
      </c>
      <c r="C22" t="str">
        <f>'Exp 1 - Probe_Characterization'!C25</f>
        <v>SQUARE</v>
      </c>
      <c r="D22">
        <f>'Exp 1 - Probe_Characterization'!D25</f>
        <v>0</v>
      </c>
      <c r="E22">
        <f>'Exp 1 - Probe_Characterization'!E25</f>
        <v>10</v>
      </c>
      <c r="F22">
        <f>'Exp 1 - Probe_Characterization'!G25</f>
        <v>100</v>
      </c>
      <c r="G22">
        <f>'Exp 1 - Probe_Characterization'!H25</f>
        <v>10</v>
      </c>
      <c r="H22">
        <f>'Exp 1 - Probe_Characterization'!I25</f>
        <v>9.98</v>
      </c>
      <c r="I22">
        <f>'Exp 1 - Probe_Characterization'!L25</f>
        <v>0.51</v>
      </c>
      <c r="J22">
        <f>'Exp 1 - Probe_Characterization'!M25</f>
        <v>5.0999999999999996</v>
      </c>
      <c r="K22">
        <f>'Exp 1 - Probe_Characterization'!N25</f>
        <v>17.71</v>
      </c>
      <c r="L22">
        <f>'Exp 1 - Probe_Characterization'!O25</f>
        <v>6.6630000000000003</v>
      </c>
      <c r="M22">
        <f>'Exp 1 - Probe_Characterization'!P25</f>
        <v>2.141</v>
      </c>
      <c r="N22">
        <f>'Exp 1 - Probe_Characterization'!S25</f>
        <v>14.265483000000001</v>
      </c>
      <c r="O22">
        <f>'Exp 1 - Probe_Characterization'!U25</f>
        <v>0.40098867681323747</v>
      </c>
      <c r="P22">
        <f>'Exp 1 - Probe_Characterization'!V25</f>
        <v>5.7279693655707726</v>
      </c>
      <c r="Q22">
        <f>'Exp 1 - Probe_Characterization'!X25</f>
        <v>0</v>
      </c>
      <c r="R22">
        <f t="shared" si="0"/>
        <v>112.3131248151132</v>
      </c>
      <c r="S22">
        <f>'Exp 1 - Probe_Characterization'!AA25</f>
        <v>0.25786000812019494</v>
      </c>
      <c r="T22">
        <f>'Exp 1 - Probe_Characterization'!AM25</f>
        <v>31</v>
      </c>
      <c r="U22">
        <f>'Exp 1 - Probe_Characterization'!AO25</f>
        <v>0</v>
      </c>
      <c r="V22">
        <f>IF($L22="","",$L22*Equipment!$B$16/100)</f>
        <v>0.19989000000000001</v>
      </c>
      <c r="W22">
        <f>IF($P22="","",$P22*Equipment!$B$19/100)</f>
        <v>0.34367816193424638</v>
      </c>
      <c r="X22" t="str">
        <f t="shared" si="1"/>
        <v>⚠ suspect (déphasage/deskew probable)</v>
      </c>
      <c r="Y22">
        <f>'Exp 1 - Probe_Characterization'!AR25</f>
        <v>0</v>
      </c>
    </row>
    <row r="23" spans="1:25" x14ac:dyDescent="0.3">
      <c r="A23" t="s">
        <v>16</v>
      </c>
      <c r="B23" t="str">
        <f>'Exp 1 - Probe_Characterization'!A26</f>
        <v>BLOCK 2</v>
      </c>
      <c r="C23" t="str">
        <f>'Exp 1 - Probe_Characterization'!C26</f>
        <v>SQUARE</v>
      </c>
      <c r="D23">
        <f>'Exp 1 - Probe_Characterization'!D26</f>
        <v>0</v>
      </c>
      <c r="E23">
        <f>'Exp 1 - Probe_Characterization'!E26</f>
        <v>10</v>
      </c>
      <c r="F23">
        <f>'Exp 1 - Probe_Characterization'!G26</f>
        <v>100</v>
      </c>
      <c r="G23">
        <f>'Exp 1 - Probe_Characterization'!H26</f>
        <v>11</v>
      </c>
      <c r="H23">
        <f>'Exp 1 - Probe_Characterization'!I26</f>
        <v>0</v>
      </c>
      <c r="I23">
        <f>'Exp 1 - Probe_Characterization'!L26</f>
        <v>0</v>
      </c>
      <c r="J23">
        <f>'Exp 1 - Probe_Characterization'!M26</f>
        <v>0</v>
      </c>
      <c r="K23">
        <f>'Exp 1 - Probe_Characterization'!N26</f>
        <v>0</v>
      </c>
      <c r="L23">
        <f>'Exp 1 - Probe_Characterization'!O26</f>
        <v>0</v>
      </c>
      <c r="M23">
        <f>'Exp 1 - Probe_Characterization'!P26</f>
        <v>0</v>
      </c>
      <c r="N23" t="str">
        <f>'Exp 1 - Probe_Characterization'!S26</f>
        <v/>
      </c>
      <c r="O23" t="str">
        <f>'Exp 1 - Probe_Characterization'!U26</f>
        <v/>
      </c>
      <c r="P23" t="str">
        <f>'Exp 1 - Probe_Characterization'!V26</f>
        <v/>
      </c>
      <c r="Q23">
        <f>'Exp 1 - Probe_Characterization'!X26</f>
        <v>0</v>
      </c>
      <c r="R23" t="str">
        <f t="shared" si="0"/>
        <v/>
      </c>
      <c r="S23" t="str">
        <f>'Exp 1 - Probe_Characterization'!AA26</f>
        <v/>
      </c>
      <c r="T23">
        <f>'Exp 1 - Probe_Characterization'!AM26</f>
        <v>0</v>
      </c>
      <c r="U23">
        <f>'Exp 1 - Probe_Characterization'!AO26</f>
        <v>0</v>
      </c>
      <c r="V23">
        <f>IF($L23="","",$L23*Equipment!$B$16/100)</f>
        <v>0</v>
      </c>
      <c r="W23" t="str">
        <f>IF($P23="","",$P23*Equipment!$B$19/100)</f>
        <v/>
      </c>
      <c r="X23" t="str">
        <f t="shared" si="1"/>
        <v/>
      </c>
      <c r="Y23" t="str">
        <f>'Exp 1 - Probe_Characterization'!AR26</f>
        <v>MOSFET failure: the generator stopped working correctly because a MOSFET failed; it was replaced (desoldered and resoldered). The failure is most likely due to excessive heating; compared with the other V-sweeps in this configuration, the recorded temperature was abnormally low.</v>
      </c>
    </row>
    <row r="24" spans="1:25" x14ac:dyDescent="0.3">
      <c r="A24" t="s">
        <v>16</v>
      </c>
      <c r="B24" t="str">
        <f>'Exp 1 - Probe_Characterization'!A28</f>
        <v>BLOCK 3</v>
      </c>
      <c r="C24" t="str">
        <f>'Exp 1 - Probe_Characterization'!C28</f>
        <v>SQUARE</v>
      </c>
      <c r="D24">
        <f>'Exp 1 - Probe_Characterization'!D28</f>
        <v>0</v>
      </c>
      <c r="E24">
        <f>'Exp 1 - Probe_Characterization'!E28</f>
        <v>15</v>
      </c>
      <c r="F24">
        <f>'Exp 1 - Probe_Characterization'!G28</f>
        <v>100</v>
      </c>
      <c r="G24">
        <f>'Exp 1 - Probe_Characterization'!H28</f>
        <v>1</v>
      </c>
      <c r="H24">
        <f>'Exp 1 - Probe_Characterization'!I28</f>
        <v>0</v>
      </c>
      <c r="I24">
        <f>'Exp 1 - Probe_Characterization'!L28</f>
        <v>0.13</v>
      </c>
      <c r="J24">
        <f>'Exp 1 - Probe_Characterization'!M28</f>
        <v>0.13</v>
      </c>
      <c r="K24">
        <f>'Exp 1 - Probe_Characterization'!N28</f>
        <v>1.89</v>
      </c>
      <c r="L24">
        <f>'Exp 1 - Probe_Characterization'!O28</f>
        <v>0.70599999999999996</v>
      </c>
      <c r="M24">
        <f>'Exp 1 - Probe_Characterization'!P28</f>
        <v>0.44800000000000001</v>
      </c>
      <c r="N24">
        <f>'Exp 1 - Probe_Characterization'!S28</f>
        <v>0.31628800000000001</v>
      </c>
      <c r="O24">
        <f>'Exp 1 - Probe_Characterization'!U28</f>
        <v>0.19936793441719719</v>
      </c>
      <c r="P24">
        <f>'Exp 1 - Probe_Characterization'!V28</f>
        <v>6.3272945161943234E-2</v>
      </c>
      <c r="Q24">
        <f>'Exp 1 - Probe_Characterization'!X28</f>
        <v>6.2E-2</v>
      </c>
      <c r="R24">
        <f t="shared" si="0"/>
        <v>48.67149627841787</v>
      </c>
      <c r="S24">
        <f>'Exp 1 - Probe_Characterization'!AA28</f>
        <v>0.31048967918099141</v>
      </c>
      <c r="T24">
        <f>'Exp 1 - Probe_Characterization'!AM28</f>
        <v>26</v>
      </c>
      <c r="U24">
        <f>'Exp 1 - Probe_Characterization'!AO28</f>
        <v>0</v>
      </c>
      <c r="V24">
        <f>IF($L24="","",$L24*Equipment!$B$16/100)</f>
        <v>2.1179999999999997E-2</v>
      </c>
      <c r="W24">
        <f>IF($P24="","",$P24*Equipment!$B$19/100)</f>
        <v>3.7963767097165938E-3</v>
      </c>
      <c r="X24" t="str">
        <f t="shared" si="1"/>
        <v>ok</v>
      </c>
      <c r="Y24">
        <f>'Exp 1 - Probe_Characterization'!AR28</f>
        <v>0</v>
      </c>
    </row>
    <row r="25" spans="1:25" x14ac:dyDescent="0.3">
      <c r="A25" t="s">
        <v>16</v>
      </c>
      <c r="B25" t="str">
        <f>'Exp 1 - Probe_Characterization'!A29</f>
        <v>BLOCK 3</v>
      </c>
      <c r="C25" t="str">
        <f>'Exp 1 - Probe_Characterization'!C29</f>
        <v>SQUARE</v>
      </c>
      <c r="D25">
        <f>'Exp 1 - Probe_Characterization'!D29</f>
        <v>0</v>
      </c>
      <c r="E25">
        <f>'Exp 1 - Probe_Characterization'!E29</f>
        <v>15</v>
      </c>
      <c r="F25">
        <f>'Exp 1 - Probe_Characterization'!G29</f>
        <v>100</v>
      </c>
      <c r="G25">
        <f>'Exp 1 - Probe_Characterization'!H29</f>
        <v>2</v>
      </c>
      <c r="H25">
        <f>'Exp 1 - Probe_Characterization'!I29</f>
        <v>2</v>
      </c>
      <c r="I25">
        <f>'Exp 1 - Probe_Characterization'!L29</f>
        <v>0.36</v>
      </c>
      <c r="J25">
        <f>'Exp 1 - Probe_Characterization'!M29</f>
        <v>0.72</v>
      </c>
      <c r="K25">
        <f>'Exp 1 - Probe_Characterization'!N29</f>
        <v>3.55</v>
      </c>
      <c r="L25">
        <f>'Exp 1 - Probe_Characterization'!O29</f>
        <v>1.21</v>
      </c>
      <c r="M25">
        <f>'Exp 1 - Probe_Characterization'!P29</f>
        <v>0.72899999999999998</v>
      </c>
      <c r="N25">
        <f>'Exp 1 - Probe_Characterization'!S29</f>
        <v>0.88208999999999993</v>
      </c>
      <c r="O25">
        <f>'Exp 1 - Probe_Characterization'!U29</f>
        <v>0.48480962024633711</v>
      </c>
      <c r="P25">
        <f>'Exp 1 - Probe_Characterization'!V29</f>
        <v>0.42806205570137945</v>
      </c>
      <c r="Q25">
        <f>'Exp 1 - Probe_Characterization'!X29</f>
        <v>0.40500000000000003</v>
      </c>
      <c r="R25">
        <f t="shared" si="0"/>
        <v>59.453063291858257</v>
      </c>
      <c r="S25">
        <f>'Exp 1 - Probe_Characterization'!AA29</f>
        <v>0.17209461907051146</v>
      </c>
      <c r="T25">
        <f>'Exp 1 - Probe_Characterization'!AM29</f>
        <v>28</v>
      </c>
      <c r="U25">
        <f>'Exp 1 - Probe_Characterization'!AO29</f>
        <v>0</v>
      </c>
      <c r="V25">
        <f>IF($L25="","",$L25*Equipment!$B$16/100)</f>
        <v>3.6299999999999999E-2</v>
      </c>
      <c r="W25">
        <f>IF($P25="","",$P25*Equipment!$B$19/100)</f>
        <v>2.5683723342082767E-2</v>
      </c>
      <c r="X25" t="str">
        <f t="shared" si="1"/>
        <v>ok</v>
      </c>
      <c r="Y25">
        <f>'Exp 1 - Probe_Characterization'!AR29</f>
        <v>0</v>
      </c>
    </row>
    <row r="26" spans="1:25" x14ac:dyDescent="0.3">
      <c r="A26" t="s">
        <v>16</v>
      </c>
      <c r="B26" t="str">
        <f>'Exp 1 - Probe_Characterization'!A30</f>
        <v>BLOCK 3</v>
      </c>
      <c r="C26" t="str">
        <f>'Exp 1 - Probe_Characterization'!C30</f>
        <v>SQUARE</v>
      </c>
      <c r="D26">
        <f>'Exp 1 - Probe_Characterization'!D30</f>
        <v>0</v>
      </c>
      <c r="E26">
        <f>'Exp 1 - Probe_Characterization'!E30</f>
        <v>15</v>
      </c>
      <c r="F26">
        <f>'Exp 1 - Probe_Characterization'!G30</f>
        <v>100</v>
      </c>
      <c r="G26">
        <f>'Exp 1 - Probe_Characterization'!H30</f>
        <v>3</v>
      </c>
      <c r="H26">
        <f>'Exp 1 - Probe_Characterization'!I30</f>
        <v>3</v>
      </c>
      <c r="I26">
        <f>'Exp 1 - Probe_Characterization'!L30</f>
        <v>0.56000000000000005</v>
      </c>
      <c r="J26">
        <f>'Exp 1 - Probe_Characterization'!M30</f>
        <v>1.6800000000000002</v>
      </c>
      <c r="K26">
        <f>'Exp 1 - Probe_Characterization'!N30</f>
        <v>5.13</v>
      </c>
      <c r="L26">
        <f>'Exp 1 - Probe_Characterization'!O30</f>
        <v>1.75</v>
      </c>
      <c r="M26">
        <f>'Exp 1 - Probe_Characterization'!P30</f>
        <v>0.97699999999999998</v>
      </c>
      <c r="N26">
        <f>'Exp 1 - Probe_Characterization'!S30</f>
        <v>1.7097499999999999</v>
      </c>
      <c r="O26">
        <f>'Exp 1 - Probe_Characterization'!U30</f>
        <v>0.52100963184057647</v>
      </c>
      <c r="P26">
        <f>'Exp 1 - Probe_Characterization'!V30</f>
        <v>0.8915527715837569</v>
      </c>
      <c r="Q26">
        <f>'Exp 1 - Probe_Characterization'!X30</f>
        <v>0.91700000000000004</v>
      </c>
      <c r="R26">
        <f t="shared" si="0"/>
        <v>53.068617356175999</v>
      </c>
      <c r="S26">
        <f>'Exp 1 - Probe_Characterization'!AA30</f>
        <v>0.12831043021856028</v>
      </c>
      <c r="T26">
        <f>'Exp 1 - Probe_Characterization'!AM30</f>
        <v>33</v>
      </c>
      <c r="U26">
        <f>'Exp 1 - Probe_Characterization'!AO30</f>
        <v>0</v>
      </c>
      <c r="V26">
        <f>IF($L26="","",$L26*Equipment!$B$16/100)</f>
        <v>5.2499999999999998E-2</v>
      </c>
      <c r="W26">
        <f>IF($P26="","",$P26*Equipment!$B$19/100)</f>
        <v>5.3493166295025416E-2</v>
      </c>
      <c r="X26" t="str">
        <f t="shared" si="1"/>
        <v>ok</v>
      </c>
      <c r="Y26">
        <f>'Exp 1 - Probe_Characterization'!AR30</f>
        <v>0</v>
      </c>
    </row>
    <row r="27" spans="1:25" x14ac:dyDescent="0.3">
      <c r="A27" t="s">
        <v>16</v>
      </c>
      <c r="B27" t="str">
        <f>'Exp 1 - Probe_Characterization'!A31</f>
        <v>BLOCK 3</v>
      </c>
      <c r="C27" t="str">
        <f>'Exp 1 - Probe_Characterization'!C31</f>
        <v>SQUARE</v>
      </c>
      <c r="D27">
        <f>'Exp 1 - Probe_Characterization'!D31</f>
        <v>0</v>
      </c>
      <c r="E27">
        <f>'Exp 1 - Probe_Characterization'!E31</f>
        <v>15</v>
      </c>
      <c r="F27">
        <f>'Exp 1 - Probe_Characterization'!G31</f>
        <v>100</v>
      </c>
      <c r="G27">
        <f>'Exp 1 - Probe_Characterization'!H31</f>
        <v>4</v>
      </c>
      <c r="H27">
        <f>'Exp 1 - Probe_Characterization'!I31</f>
        <v>4</v>
      </c>
      <c r="I27">
        <f>'Exp 1 - Probe_Characterization'!L31</f>
        <v>0.77</v>
      </c>
      <c r="J27">
        <f>'Exp 1 - Probe_Characterization'!M31</f>
        <v>3.08</v>
      </c>
      <c r="K27">
        <f>'Exp 1 - Probe_Characterization'!N31</f>
        <v>7.03</v>
      </c>
      <c r="L27">
        <f>'Exp 1 - Probe_Characterization'!O31</f>
        <v>2.48</v>
      </c>
      <c r="M27">
        <f>'Exp 1 - Probe_Characterization'!P31</f>
        <v>1.49</v>
      </c>
      <c r="N27">
        <f>'Exp 1 - Probe_Characterization'!S31</f>
        <v>3.6951999999999998</v>
      </c>
      <c r="O27">
        <f>'Exp 1 - Probe_Characterization'!U31</f>
        <v>0.47408820904711624</v>
      </c>
      <c r="P27">
        <f>'Exp 1 - Probe_Characterization'!V31</f>
        <v>1.7536266817987214</v>
      </c>
      <c r="Q27">
        <f>'Exp 1 - Probe_Characterization'!X31</f>
        <v>1.7549999999999999</v>
      </c>
      <c r="R27">
        <f t="shared" si="0"/>
        <v>56.935931227231215</v>
      </c>
      <c r="S27">
        <f>'Exp 1 - Probe_Characterization'!AA31</f>
        <v>9.3275711549636667E-2</v>
      </c>
      <c r="T27">
        <f>'Exp 1 - Probe_Characterization'!AM31</f>
        <v>39</v>
      </c>
      <c r="U27">
        <f>'Exp 1 - Probe_Characterization'!AO31</f>
        <v>0</v>
      </c>
      <c r="V27">
        <f>IF($L27="","",$L27*Equipment!$B$16/100)</f>
        <v>7.4399999999999994E-2</v>
      </c>
      <c r="W27">
        <f>IF($P27="","",$P27*Equipment!$B$19/100)</f>
        <v>0.10521760090792329</v>
      </c>
      <c r="X27" t="str">
        <f t="shared" si="1"/>
        <v>ok</v>
      </c>
      <c r="Y27">
        <f>'Exp 1 - Probe_Characterization'!AR31</f>
        <v>0</v>
      </c>
    </row>
    <row r="28" spans="1:25" x14ac:dyDescent="0.3">
      <c r="A28" t="s">
        <v>16</v>
      </c>
      <c r="B28" t="str">
        <f>'Exp 1 - Probe_Characterization'!A32</f>
        <v>BLOCK 3</v>
      </c>
      <c r="C28" t="str">
        <f>'Exp 1 - Probe_Characterization'!C32</f>
        <v>SQUARE</v>
      </c>
      <c r="D28">
        <f>'Exp 1 - Probe_Characterization'!D32</f>
        <v>0</v>
      </c>
      <c r="E28">
        <f>'Exp 1 - Probe_Characterization'!E32</f>
        <v>15</v>
      </c>
      <c r="F28">
        <f>'Exp 1 - Probe_Characterization'!G32</f>
        <v>100</v>
      </c>
      <c r="G28">
        <f>'Exp 1 - Probe_Characterization'!H32</f>
        <v>5</v>
      </c>
      <c r="H28">
        <f>'Exp 1 - Probe_Characterization'!I32</f>
        <v>5</v>
      </c>
      <c r="I28">
        <f>'Exp 1 - Probe_Characterization'!L32</f>
        <v>0.96</v>
      </c>
      <c r="J28">
        <f>'Exp 1 - Probe_Characterization'!M32</f>
        <v>4.8</v>
      </c>
      <c r="K28">
        <f>'Exp 1 - Probe_Characterization'!N32</f>
        <v>9.16</v>
      </c>
      <c r="L28">
        <f>'Exp 1 - Probe_Characterization'!O32</f>
        <v>3.2250000000000001</v>
      </c>
      <c r="M28">
        <f>'Exp 1 - Probe_Characterization'!P32</f>
        <v>1.93</v>
      </c>
      <c r="N28">
        <f>'Exp 1 - Probe_Characterization'!S32</f>
        <v>6.2242499999999996</v>
      </c>
      <c r="O28">
        <f>'Exp 1 - Probe_Characterization'!U32</f>
        <v>0.46174861323503408</v>
      </c>
      <c r="P28">
        <f>'Exp 1 - Probe_Characterization'!V32</f>
        <v>2.8770914927429656</v>
      </c>
      <c r="Q28">
        <f>'Exp 1 - Probe_Characterization'!X32</f>
        <v>2.9020000000000001</v>
      </c>
      <c r="R28">
        <f t="shared" si="0"/>
        <v>59.939406098811787</v>
      </c>
      <c r="S28">
        <f>'Exp 1 - Probe_Characterization'!AA32</f>
        <v>6.3750984305007571E-2</v>
      </c>
      <c r="T28">
        <f>'Exp 1 - Probe_Characterization'!AM32</f>
        <v>46</v>
      </c>
      <c r="U28">
        <f>'Exp 1 - Probe_Characterization'!AO32</f>
        <v>0</v>
      </c>
      <c r="V28">
        <f>IF($L28="","",$L28*Equipment!$B$16/100)</f>
        <v>9.6750000000000003E-2</v>
      </c>
      <c r="W28">
        <f>IF($P28="","",$P28*Equipment!$B$19/100)</f>
        <v>0.17262548956457791</v>
      </c>
      <c r="X28" t="str">
        <f t="shared" si="1"/>
        <v>ok</v>
      </c>
      <c r="Y28">
        <f>'Exp 1 - Probe_Characterization'!AR32</f>
        <v>0</v>
      </c>
    </row>
    <row r="29" spans="1:25" x14ac:dyDescent="0.3">
      <c r="A29" t="s">
        <v>16</v>
      </c>
      <c r="B29" t="str">
        <f>'Exp 1 - Probe_Characterization'!A33</f>
        <v>BLOCK 3</v>
      </c>
      <c r="C29" t="str">
        <f>'Exp 1 - Probe_Characterization'!C33</f>
        <v>SQUARE</v>
      </c>
      <c r="D29">
        <f>'Exp 1 - Probe_Characterization'!D33</f>
        <v>0</v>
      </c>
      <c r="E29">
        <f>'Exp 1 - Probe_Characterization'!E33</f>
        <v>15</v>
      </c>
      <c r="F29">
        <f>'Exp 1 - Probe_Characterization'!G33</f>
        <v>100</v>
      </c>
      <c r="G29">
        <f>'Exp 1 - Probe_Characterization'!H33</f>
        <v>6</v>
      </c>
      <c r="H29">
        <f>'Exp 1 - Probe_Characterization'!I33</f>
        <v>6</v>
      </c>
      <c r="I29">
        <f>'Exp 1 - Probe_Characterization'!L33</f>
        <v>1.06</v>
      </c>
      <c r="J29">
        <f>'Exp 1 - Probe_Characterization'!M33</f>
        <v>6.36</v>
      </c>
      <c r="K29">
        <f>'Exp 1 - Probe_Characterization'!N33</f>
        <v>11.29</v>
      </c>
      <c r="L29">
        <f>'Exp 1 - Probe_Characterization'!O33</f>
        <v>4.0010000000000003</v>
      </c>
      <c r="M29">
        <f>'Exp 1 - Probe_Characterization'!P33</f>
        <v>2.36</v>
      </c>
      <c r="N29">
        <f>'Exp 1 - Probe_Characterization'!S33</f>
        <v>9.4423600000000008</v>
      </c>
      <c r="O29">
        <f>'Exp 1 - Probe_Characterization'!U33</f>
        <v>0.4863353804234905</v>
      </c>
      <c r="P29">
        <f>'Exp 1 - Probe_Characterization'!V33</f>
        <v>4.596598824406815</v>
      </c>
      <c r="Q29">
        <f>'Exp 1 - Probe_Characterization'!X33</f>
        <v>4.8120000000000003</v>
      </c>
      <c r="R29">
        <f t="shared" si="0"/>
        <v>72.273566421490798</v>
      </c>
      <c r="S29">
        <f>'Exp 1 - Probe_Characterization'!AA33</f>
        <v>4.8302922177814636E-2</v>
      </c>
      <c r="T29">
        <f>'Exp 1 - Probe_Characterization'!AM33</f>
        <v>55</v>
      </c>
      <c r="U29">
        <f>'Exp 1 - Probe_Characterization'!AO33</f>
        <v>0</v>
      </c>
      <c r="V29">
        <f>IF($L29="","",$L29*Equipment!$B$16/100)</f>
        <v>0.12003</v>
      </c>
      <c r="W29">
        <f>IF($P29="","",$P29*Equipment!$B$19/100)</f>
        <v>0.2757959294644089</v>
      </c>
      <c r="X29" t="str">
        <f t="shared" si="1"/>
        <v>ok</v>
      </c>
      <c r="Y29">
        <f>'Exp 1 - Probe_Characterization'!AR33</f>
        <v>0</v>
      </c>
    </row>
    <row r="30" spans="1:25" x14ac:dyDescent="0.3">
      <c r="A30" t="s">
        <v>16</v>
      </c>
      <c r="B30" t="str">
        <f>'Exp 1 - Probe_Characterization'!A34</f>
        <v>BLOCK 3</v>
      </c>
      <c r="C30" t="str">
        <f>'Exp 1 - Probe_Characterization'!C34</f>
        <v>SQUARE</v>
      </c>
      <c r="D30">
        <f>'Exp 1 - Probe_Characterization'!D34</f>
        <v>0</v>
      </c>
      <c r="E30">
        <f>'Exp 1 - Probe_Characterization'!E34</f>
        <v>15</v>
      </c>
      <c r="F30">
        <f>'Exp 1 - Probe_Characterization'!G34</f>
        <v>100</v>
      </c>
      <c r="G30">
        <f>'Exp 1 - Probe_Characterization'!H34</f>
        <v>7</v>
      </c>
      <c r="H30">
        <f>'Exp 1 - Probe_Characterization'!I34</f>
        <v>7</v>
      </c>
      <c r="I30">
        <f>'Exp 1 - Probe_Characterization'!L34</f>
        <v>1.07</v>
      </c>
      <c r="J30">
        <f>'Exp 1 - Probe_Characterization'!M34</f>
        <v>7.49</v>
      </c>
      <c r="K30">
        <f>'Exp 1 - Probe_Characterization'!N34</f>
        <v>13.67</v>
      </c>
      <c r="L30">
        <f>'Exp 1 - Probe_Characterization'!O34</f>
        <v>4.806</v>
      </c>
      <c r="M30">
        <f>'Exp 1 - Probe_Characterization'!P34</f>
        <v>2.85</v>
      </c>
      <c r="N30">
        <f>'Exp 1 - Probe_Characterization'!S34</f>
        <v>13.697100000000001</v>
      </c>
      <c r="O30">
        <f>'Exp 1 - Probe_Characterization'!U34</f>
        <v>0.49394186658423106</v>
      </c>
      <c r="P30">
        <f>'Exp 1 - Probe_Characterization'!V34</f>
        <v>6.7719349256364492</v>
      </c>
      <c r="Q30">
        <f>'Exp 1 - Probe_Characterization'!X34</f>
        <v>6.7809999999999997</v>
      </c>
      <c r="R30">
        <f t="shared" si="0"/>
        <v>90.413016363637496</v>
      </c>
      <c r="S30">
        <f>'Exp 1 - Probe_Characterization'!AA34</f>
        <v>6.1465674184563841E-2</v>
      </c>
      <c r="T30">
        <f>'Exp 1 - Probe_Characterization'!AM34</f>
        <v>64</v>
      </c>
      <c r="U30">
        <f>'Exp 1 - Probe_Characterization'!AO34</f>
        <v>0</v>
      </c>
      <c r="V30">
        <f>IF($L30="","",$L30*Equipment!$B$16/100)</f>
        <v>0.14418</v>
      </c>
      <c r="W30">
        <f>IF($P30="","",$P30*Equipment!$B$19/100)</f>
        <v>0.40631609553818693</v>
      </c>
      <c r="X30" t="str">
        <f t="shared" si="1"/>
        <v>△ à surveiller (&gt;90%)</v>
      </c>
      <c r="Y30">
        <f>'Exp 1 - Probe_Characterization'!AR34</f>
        <v>0</v>
      </c>
    </row>
    <row r="31" spans="1:25" x14ac:dyDescent="0.3">
      <c r="A31" t="s">
        <v>16</v>
      </c>
      <c r="B31" t="str">
        <f>'Exp 1 - Probe_Characterization'!A35</f>
        <v>BLOCK 3</v>
      </c>
      <c r="C31" t="str">
        <f>'Exp 1 - Probe_Characterization'!C35</f>
        <v>SQUARE</v>
      </c>
      <c r="D31">
        <f>'Exp 1 - Probe_Characterization'!D35</f>
        <v>0</v>
      </c>
      <c r="E31">
        <f>'Exp 1 - Probe_Characterization'!E35</f>
        <v>15</v>
      </c>
      <c r="F31">
        <f>'Exp 1 - Probe_Characterization'!G35</f>
        <v>100</v>
      </c>
      <c r="G31">
        <f>'Exp 1 - Probe_Characterization'!H35</f>
        <v>8</v>
      </c>
      <c r="H31">
        <f>'Exp 1 - Probe_Characterization'!I35</f>
        <v>8</v>
      </c>
      <c r="I31">
        <f>'Exp 1 - Probe_Characterization'!L35</f>
        <v>1.1299999999999999</v>
      </c>
      <c r="J31">
        <f>'Exp 1 - Probe_Characterization'!M35</f>
        <v>9.0399999999999991</v>
      </c>
      <c r="K31">
        <f>'Exp 1 - Probe_Characterization'!N35</f>
        <v>15.79</v>
      </c>
      <c r="L31">
        <f>'Exp 1 - Probe_Characterization'!O35</f>
        <v>5.5819999999999999</v>
      </c>
      <c r="M31">
        <f>'Exp 1 - Probe_Characterization'!P35</f>
        <v>3.3730000000000002</v>
      </c>
      <c r="N31">
        <f>'Exp 1 - Probe_Characterization'!S35</f>
        <v>18.828085999999999</v>
      </c>
      <c r="O31">
        <f>'Exp 1 - Probe_Characterization'!U35</f>
        <v>0.48175367410171516</v>
      </c>
      <c r="P31">
        <f>'Exp 1 - Probe_Characterization'!V35</f>
        <v>9.0794326177911167</v>
      </c>
      <c r="Q31">
        <f>'Exp 1 - Probe_Characterization'!X35</f>
        <v>9.0890000000000004</v>
      </c>
      <c r="R31">
        <f t="shared" si="0"/>
        <v>100.43620152423802</v>
      </c>
      <c r="S31">
        <f>'Exp 1 - Probe_Characterization'!AA35</f>
        <v>9.9635066428941044E-2</v>
      </c>
      <c r="T31">
        <f>'Exp 1 - Probe_Characterization'!AM35</f>
        <v>75</v>
      </c>
      <c r="U31">
        <f>'Exp 1 - Probe_Characterization'!AO35</f>
        <v>0</v>
      </c>
      <c r="V31">
        <f>IF($L31="","",$L31*Equipment!$B$16/100)</f>
        <v>0.16746</v>
      </c>
      <c r="W31">
        <f>IF($P31="","",$P31*Equipment!$B$19/100)</f>
        <v>0.544765957067467</v>
      </c>
      <c r="X31" t="str">
        <f t="shared" si="1"/>
        <v>△ à surveiller (&gt;90%)</v>
      </c>
      <c r="Y31">
        <f>'Exp 1 - Probe_Characterization'!AR35</f>
        <v>0</v>
      </c>
    </row>
    <row r="32" spans="1:25" x14ac:dyDescent="0.3">
      <c r="A32" t="s">
        <v>16</v>
      </c>
      <c r="B32" t="str">
        <f>'Exp 1 - Probe_Characterization'!A36</f>
        <v>BLOCK 3</v>
      </c>
      <c r="C32" t="str">
        <f>'Exp 1 - Probe_Characterization'!C36</f>
        <v>SQUARE</v>
      </c>
      <c r="D32">
        <f>'Exp 1 - Probe_Characterization'!D36</f>
        <v>0</v>
      </c>
      <c r="E32">
        <f>'Exp 1 - Probe_Characterization'!E36</f>
        <v>15</v>
      </c>
      <c r="F32">
        <f>'Exp 1 - Probe_Characterization'!G36</f>
        <v>100</v>
      </c>
      <c r="G32">
        <f>'Exp 1 - Probe_Characterization'!H36</f>
        <v>9</v>
      </c>
      <c r="H32">
        <f>'Exp 1 - Probe_Characterization'!I36</f>
        <v>9</v>
      </c>
      <c r="I32">
        <f>'Exp 1 - Probe_Characterization'!L36</f>
        <v>1.28</v>
      </c>
      <c r="J32">
        <f>'Exp 1 - Probe_Characterization'!M36</f>
        <v>11.52</v>
      </c>
      <c r="K32">
        <f>'Exp 1 - Probe_Characterization'!N36</f>
        <v>18.09</v>
      </c>
      <c r="L32">
        <f>'Exp 1 - Probe_Characterization'!O36</f>
        <v>5.73</v>
      </c>
      <c r="M32">
        <f>'Exp 1 - Probe_Characterization'!P36</f>
        <v>3.5</v>
      </c>
      <c r="N32">
        <f>'Exp 1 - Probe_Characterization'!S36</f>
        <v>20.055</v>
      </c>
      <c r="O32">
        <f>'Exp 1 - Probe_Characterization'!U36</f>
        <v>0.47715876025960841</v>
      </c>
      <c r="P32">
        <f>'Exp 1 - Probe_Characterization'!V36</f>
        <v>9.5790081049290752</v>
      </c>
      <c r="Q32">
        <f>'Exp 1 - Probe_Characterization'!X36</f>
        <v>10.09</v>
      </c>
      <c r="R32">
        <f t="shared" si="0"/>
        <v>83.151112021953779</v>
      </c>
      <c r="S32">
        <f>'Exp 1 - Probe_Characterization'!AA36</f>
        <v>0.12882832398753483</v>
      </c>
      <c r="T32">
        <f>'Exp 1 - Probe_Characterization'!AM36</f>
        <v>85</v>
      </c>
      <c r="U32">
        <f>'Exp 1 - Probe_Characterization'!AO36</f>
        <v>0</v>
      </c>
      <c r="V32">
        <f>IF($L32="","",$L32*Equipment!$B$16/100)</f>
        <v>0.17190000000000003</v>
      </c>
      <c r="W32">
        <f>IF($P32="","",$P32*Equipment!$B$19/100)</f>
        <v>0.57474048629574459</v>
      </c>
      <c r="X32" t="str">
        <f t="shared" si="1"/>
        <v>ok</v>
      </c>
      <c r="Y32">
        <f>'Exp 1 - Probe_Characterization'!AR36</f>
        <v>0</v>
      </c>
    </row>
    <row r="33" spans="1:25" x14ac:dyDescent="0.3">
      <c r="A33" t="s">
        <v>16</v>
      </c>
      <c r="B33" t="str">
        <f>'Exp 1 - Probe_Characterization'!A37</f>
        <v>BLOCK 3</v>
      </c>
      <c r="C33" t="str">
        <f>'Exp 1 - Probe_Characterization'!C37</f>
        <v>SQUARE</v>
      </c>
      <c r="D33">
        <f>'Exp 1 - Probe_Characterization'!D37</f>
        <v>0</v>
      </c>
      <c r="E33">
        <f>'Exp 1 - Probe_Characterization'!E37</f>
        <v>15</v>
      </c>
      <c r="F33">
        <f>'Exp 1 - Probe_Characterization'!G37</f>
        <v>100</v>
      </c>
      <c r="G33">
        <f>'Exp 1 - Probe_Characterization'!H37</f>
        <v>10</v>
      </c>
      <c r="H33">
        <f>'Exp 1 - Probe_Characterization'!I37</f>
        <v>10</v>
      </c>
      <c r="I33">
        <f>'Exp 1 - Probe_Characterization'!L37</f>
        <v>1.38</v>
      </c>
      <c r="J33">
        <f>'Exp 1 - Probe_Characterization'!M37</f>
        <v>13.799999999999999</v>
      </c>
      <c r="K33">
        <f>'Exp 1 - Probe_Characterization'!N37</f>
        <v>20.57</v>
      </c>
      <c r="L33">
        <f>'Exp 1 - Probe_Characterization'!O37</f>
        <v>7.18</v>
      </c>
      <c r="M33">
        <f>'Exp 1 - Probe_Characterization'!P37</f>
        <v>4.6100000000000003</v>
      </c>
      <c r="N33">
        <f>'Exp 1 - Probe_Characterization'!S37</f>
        <v>33.099800000000002</v>
      </c>
      <c r="O33">
        <f>'Exp 1 - Probe_Characterization'!U37</f>
        <v>0.4457291654314135</v>
      </c>
      <c r="P33">
        <f>'Exp 1 - Probe_Characterization'!V37</f>
        <v>14.77019939259969</v>
      </c>
      <c r="Q33">
        <f>'Exp 1 - Probe_Characterization'!X37</f>
        <v>14.78</v>
      </c>
      <c r="R33">
        <f t="shared" si="0"/>
        <v>107.03043038115719</v>
      </c>
      <c r="S33">
        <f>'Exp 1 - Probe_Characterization'!AA37</f>
        <v>0.17116144653144805</v>
      </c>
      <c r="T33">
        <f>'Exp 1 - Probe_Characterization'!AM37</f>
        <v>94</v>
      </c>
      <c r="U33">
        <f>'Exp 1 - Probe_Characterization'!AO37</f>
        <v>0</v>
      </c>
      <c r="V33">
        <f>IF($L33="","",$L33*Equipment!$B$16/100)</f>
        <v>0.21539999999999998</v>
      </c>
      <c r="W33">
        <f>IF($P33="","",$P33*Equipment!$B$19/100)</f>
        <v>0.88621196355598131</v>
      </c>
      <c r="X33" t="str">
        <f t="shared" si="1"/>
        <v>⚠ suspect (déphasage/deskew probable)</v>
      </c>
      <c r="Y33">
        <f>'Exp 1 - Probe_Characterization'!AR37</f>
        <v>0</v>
      </c>
    </row>
    <row r="34" spans="1:25" x14ac:dyDescent="0.3">
      <c r="A34" t="s">
        <v>16</v>
      </c>
      <c r="B34" t="str">
        <f>'Exp 1 - Probe_Characterization'!A39</f>
        <v>BLOCK 4</v>
      </c>
      <c r="C34" t="str">
        <f>'Exp 1 - Probe_Characterization'!C39</f>
        <v>SQUARE</v>
      </c>
      <c r="D34">
        <f>'Exp 1 - Probe_Characterization'!D39</f>
        <v>0</v>
      </c>
      <c r="E34">
        <f>'Exp 1 - Probe_Characterization'!E39</f>
        <v>5</v>
      </c>
      <c r="F34">
        <f>'Exp 1 - Probe_Characterization'!G39</f>
        <v>100</v>
      </c>
      <c r="G34">
        <f>'Exp 1 - Probe_Characterization'!H39</f>
        <v>2</v>
      </c>
      <c r="H34">
        <f>'Exp 1 - Probe_Characterization'!I39</f>
        <v>1.9950000000000001</v>
      </c>
      <c r="I34">
        <f>'Exp 1 - Probe_Characterization'!L39</f>
        <v>0.47</v>
      </c>
      <c r="J34">
        <f>'Exp 1 - Probe_Characterization'!M39</f>
        <v>0.94</v>
      </c>
      <c r="K34">
        <f>'Exp 1 - Probe_Characterization'!N39</f>
        <v>3.43</v>
      </c>
      <c r="L34">
        <f>'Exp 1 - Probe_Characterization'!O39</f>
        <v>1</v>
      </c>
      <c r="M34">
        <f>'Exp 1 - Probe_Characterization'!P39</f>
        <v>0.34499999999999997</v>
      </c>
      <c r="N34">
        <f>'Exp 1 - Probe_Characterization'!S39</f>
        <v>0.34499999999999997</v>
      </c>
      <c r="O34">
        <f>'Exp 1 - Probe_Characterization'!U39</f>
        <v>0.27563735581699916</v>
      </c>
      <c r="P34">
        <f>'Exp 1 - Probe_Characterization'!V39</f>
        <v>9.5312008076411853E-2</v>
      </c>
      <c r="Q34">
        <f>'Exp 1 - Probe_Characterization'!X39</f>
        <v>0</v>
      </c>
      <c r="R34">
        <f t="shared" si="0"/>
        <v>10.139575327277857</v>
      </c>
      <c r="S34">
        <f>'Exp 1 - Probe_Characterization'!AA39</f>
        <v>0.19928943749193886</v>
      </c>
      <c r="T34">
        <f>'Exp 1 - Probe_Characterization'!AM39</f>
        <v>26</v>
      </c>
      <c r="U34">
        <f>'Exp 1 - Probe_Characterization'!AO39</f>
        <v>0</v>
      </c>
      <c r="V34">
        <f>IF($L34="","",$L34*Equipment!$B$16/100)</f>
        <v>0.03</v>
      </c>
      <c r="W34">
        <f>IF($P34="","",$P34*Equipment!$B$19/100)</f>
        <v>5.7187204845847118E-3</v>
      </c>
      <c r="X34" t="str">
        <f t="shared" si="1"/>
        <v>ok</v>
      </c>
      <c r="Y34">
        <f>'Exp 1 - Probe_Characterization'!AR39</f>
        <v>0</v>
      </c>
    </row>
    <row r="35" spans="1:25" x14ac:dyDescent="0.3">
      <c r="A35" t="s">
        <v>16</v>
      </c>
      <c r="B35" t="str">
        <f>'Exp 1 - Probe_Characterization'!A40</f>
        <v>BLOCK 4</v>
      </c>
      <c r="C35" t="str">
        <f>'Exp 1 - Probe_Characterization'!C40</f>
        <v>SQUARE</v>
      </c>
      <c r="D35">
        <f>'Exp 1 - Probe_Characterization'!D40</f>
        <v>0</v>
      </c>
      <c r="E35">
        <f>'Exp 1 - Probe_Characterization'!E40</f>
        <v>7.5</v>
      </c>
      <c r="F35">
        <f>'Exp 1 - Probe_Characterization'!G40</f>
        <v>100</v>
      </c>
      <c r="G35">
        <f>'Exp 1 - Probe_Characterization'!H40</f>
        <v>2</v>
      </c>
      <c r="H35">
        <f>'Exp 1 - Probe_Characterization'!I40</f>
        <v>1.97</v>
      </c>
      <c r="I35">
        <f>'Exp 1 - Probe_Characterization'!L40</f>
        <v>0.17</v>
      </c>
      <c r="J35">
        <f>'Exp 1 - Probe_Characterization'!M40</f>
        <v>0.34</v>
      </c>
      <c r="K35">
        <f>'Exp 1 - Probe_Characterization'!N40</f>
        <v>4.13</v>
      </c>
      <c r="L35">
        <f>'Exp 1 - Probe_Characterization'!O40</f>
        <v>1.29</v>
      </c>
      <c r="M35">
        <f>'Exp 1 - Probe_Characterization'!P40</f>
        <v>0.60099999999999998</v>
      </c>
      <c r="N35">
        <f>'Exp 1 - Probe_Characterization'!S40</f>
        <v>0.77529000000000003</v>
      </c>
      <c r="O35">
        <f>'Exp 1 - Probe_Characterization'!U40</f>
        <v>0.12186934340514749</v>
      </c>
      <c r="P35">
        <f>'Exp 1 - Probe_Characterization'!V40</f>
        <v>9.5049179184841709E-2</v>
      </c>
      <c r="Q35">
        <f>'Exp 1 - Probe_Characterization'!X40</f>
        <v>0</v>
      </c>
      <c r="R35">
        <f t="shared" ref="R35:R66" si="2">IFERROR(IF(OR($J35="",$P35="",$J35=0),"",$P35/$J35*100),"")</f>
        <v>27.955640936718147</v>
      </c>
      <c r="S35">
        <f>'Exp 1 - Probe_Characterization'!AA40</f>
        <v>0.30625124412319887</v>
      </c>
      <c r="T35">
        <f>'Exp 1 - Probe_Characterization'!AM40</f>
        <v>26</v>
      </c>
      <c r="U35">
        <f>'Exp 1 - Probe_Characterization'!AO40</f>
        <v>0</v>
      </c>
      <c r="V35">
        <f>IF($L35="","",$L35*Equipment!$B$16/100)</f>
        <v>3.8699999999999998E-2</v>
      </c>
      <c r="W35">
        <f>IF($P35="","",$P35*Equipment!$B$19/100)</f>
        <v>5.7029507510905032E-3</v>
      </c>
      <c r="X35" t="str">
        <f t="shared" ref="X35:X66" si="3">IF(R35="","",IF(OR(R35&gt;105,R35&lt;-5),"⚠ suspect (déphasage/deskew probable)",IF(R35&gt;90,"△ à surveiller (&gt;90%)","ok")))</f>
        <v>ok</v>
      </c>
      <c r="Y35">
        <f>'Exp 1 - Probe_Characterization'!AR40</f>
        <v>0</v>
      </c>
    </row>
    <row r="36" spans="1:25" x14ac:dyDescent="0.3">
      <c r="A36" t="s">
        <v>16</v>
      </c>
      <c r="B36" t="str">
        <f>'Exp 1 - Probe_Characterization'!A41</f>
        <v>BLOCK 4</v>
      </c>
      <c r="C36" t="str">
        <f>'Exp 1 - Probe_Characterization'!C41</f>
        <v>SQUARE</v>
      </c>
      <c r="D36">
        <f>'Exp 1 - Probe_Characterization'!D41</f>
        <v>0</v>
      </c>
      <c r="E36">
        <f>'Exp 1 - Probe_Characterization'!E41</f>
        <v>10</v>
      </c>
      <c r="F36">
        <f>'Exp 1 - Probe_Characterization'!G41</f>
        <v>100</v>
      </c>
      <c r="G36">
        <f>'Exp 1 - Probe_Characterization'!H41</f>
        <v>2</v>
      </c>
      <c r="H36">
        <f>'Exp 1 - Probe_Characterization'!I41</f>
        <v>1.998</v>
      </c>
      <c r="I36">
        <f>'Exp 1 - Probe_Characterization'!L41</f>
        <v>0.17</v>
      </c>
      <c r="J36">
        <f>'Exp 1 - Probe_Characterization'!M41</f>
        <v>0.34</v>
      </c>
      <c r="K36">
        <f>'Exp 1 - Probe_Characterization'!N41</f>
        <v>3.8</v>
      </c>
      <c r="L36">
        <f>'Exp 1 - Probe_Characterization'!O41</f>
        <v>1.31</v>
      </c>
      <c r="M36">
        <f>'Exp 1 - Probe_Characterization'!P41</f>
        <v>0.65200000000000002</v>
      </c>
      <c r="N36">
        <f>'Exp 1 - Probe_Characterization'!S41</f>
        <v>0.8541200000000001</v>
      </c>
      <c r="O36">
        <f>'Exp 1 - Probe_Characterization'!U41</f>
        <v>0.32886664673858329</v>
      </c>
      <c r="P36">
        <f>'Exp 1 - Probe_Characterization'!V41</f>
        <v>0.28139682142025157</v>
      </c>
      <c r="Q36">
        <f>'Exp 1 - Probe_Characterization'!X41</f>
        <v>0</v>
      </c>
      <c r="R36">
        <f t="shared" si="2"/>
        <v>82.763771005956343</v>
      </c>
      <c r="S36">
        <f>'Exp 1 - Probe_Characterization'!AA41</f>
        <v>0.18183140653602295</v>
      </c>
      <c r="T36">
        <f>'Exp 1 - Probe_Characterization'!AM41</f>
        <v>26</v>
      </c>
      <c r="U36">
        <f>'Exp 1 - Probe_Characterization'!AO41</f>
        <v>0</v>
      </c>
      <c r="V36">
        <f>IF($L36="","",$L36*Equipment!$B$16/100)</f>
        <v>3.9300000000000002E-2</v>
      </c>
      <c r="W36">
        <f>IF($P36="","",$P36*Equipment!$B$19/100)</f>
        <v>1.6883809285215094E-2</v>
      </c>
      <c r="X36" t="str">
        <f t="shared" si="3"/>
        <v>ok</v>
      </c>
      <c r="Y36">
        <f>'Exp 1 - Probe_Characterization'!AR41</f>
        <v>0</v>
      </c>
    </row>
    <row r="37" spans="1:25" x14ac:dyDescent="0.3">
      <c r="A37" t="s">
        <v>16</v>
      </c>
      <c r="B37" t="str">
        <f>'Exp 1 - Probe_Characterization'!A42</f>
        <v>BLOCK 4</v>
      </c>
      <c r="C37" t="str">
        <f>'Exp 1 - Probe_Characterization'!C42</f>
        <v>SQUARE</v>
      </c>
      <c r="D37">
        <f>'Exp 1 - Probe_Characterization'!D42</f>
        <v>0</v>
      </c>
      <c r="E37">
        <f>'Exp 1 - Probe_Characterization'!E42</f>
        <v>12.5</v>
      </c>
      <c r="F37">
        <f>'Exp 1 - Probe_Characterization'!G42</f>
        <v>100</v>
      </c>
      <c r="G37">
        <f>'Exp 1 - Probe_Characterization'!H42</f>
        <v>2</v>
      </c>
      <c r="H37">
        <f>'Exp 1 - Probe_Characterization'!I42</f>
        <v>1.96</v>
      </c>
      <c r="I37">
        <f>'Exp 1 - Probe_Characterization'!L42</f>
        <v>0.28999999999999998</v>
      </c>
      <c r="J37">
        <f>'Exp 1 - Probe_Characterization'!M42</f>
        <v>0.57999999999999996</v>
      </c>
      <c r="K37">
        <f>'Exp 1 - Probe_Characterization'!N42</f>
        <v>3.64</v>
      </c>
      <c r="L37">
        <f>'Exp 1 - Probe_Characterization'!O42</f>
        <v>1.29</v>
      </c>
      <c r="M37">
        <f>'Exp 1 - Probe_Characterization'!P42</f>
        <v>0.72499999999999998</v>
      </c>
      <c r="N37">
        <f>'Exp 1 - Probe_Characterization'!S42</f>
        <v>0.93525000000000003</v>
      </c>
      <c r="O37">
        <f>'Exp 1 - Probe_Characterization'!U42</f>
        <v>0.42261826174069944</v>
      </c>
      <c r="P37">
        <f>'Exp 1 - Probe_Characterization'!V42</f>
        <v>0.39574115377766966</v>
      </c>
      <c r="Q37">
        <f>'Exp 1 - Probe_Characterization'!X42</f>
        <v>0</v>
      </c>
      <c r="R37">
        <f t="shared" si="2"/>
        <v>68.231233409943044</v>
      </c>
      <c r="S37">
        <f>'Exp 1 - Probe_Characterization'!AA42</f>
        <v>7.6820355900817455E-2</v>
      </c>
      <c r="T37">
        <f>'Exp 1 - Probe_Characterization'!AM42</f>
        <v>25</v>
      </c>
      <c r="U37">
        <f>'Exp 1 - Probe_Characterization'!AO42</f>
        <v>0</v>
      </c>
      <c r="V37">
        <f>IF($L37="","",$L37*Equipment!$B$16/100)</f>
        <v>3.8699999999999998E-2</v>
      </c>
      <c r="W37">
        <f>IF($P37="","",$P37*Equipment!$B$19/100)</f>
        <v>2.3744469226660181E-2</v>
      </c>
      <c r="X37" t="str">
        <f t="shared" si="3"/>
        <v>ok</v>
      </c>
      <c r="Y37">
        <f>'Exp 1 - Probe_Characterization'!AR42</f>
        <v>0</v>
      </c>
    </row>
    <row r="38" spans="1:25" x14ac:dyDescent="0.3">
      <c r="A38" t="s">
        <v>16</v>
      </c>
      <c r="B38" t="str">
        <f>'Exp 1 - Probe_Characterization'!A43</f>
        <v>BLOCK 4</v>
      </c>
      <c r="C38" t="str">
        <f>'Exp 1 - Probe_Characterization'!C43</f>
        <v>SQUARE</v>
      </c>
      <c r="D38">
        <f>'Exp 1 - Probe_Characterization'!D43</f>
        <v>0</v>
      </c>
      <c r="E38">
        <f>'Exp 1 - Probe_Characterization'!E43</f>
        <v>15</v>
      </c>
      <c r="F38">
        <f>'Exp 1 - Probe_Characterization'!G43</f>
        <v>100</v>
      </c>
      <c r="G38">
        <f>'Exp 1 - Probe_Characterization'!H43</f>
        <v>2</v>
      </c>
      <c r="H38">
        <f>'Exp 1 - Probe_Characterization'!I43</f>
        <v>1.99</v>
      </c>
      <c r="I38">
        <f>'Exp 1 - Probe_Characterization'!L43</f>
        <v>0.51</v>
      </c>
      <c r="J38">
        <f>'Exp 1 - Probe_Characterization'!M43</f>
        <v>1.02</v>
      </c>
      <c r="K38">
        <f>'Exp 1 - Probe_Characterization'!N43</f>
        <v>3.48</v>
      </c>
      <c r="L38">
        <f>'Exp 1 - Probe_Characterization'!O43</f>
        <v>1.67</v>
      </c>
      <c r="M38">
        <f>'Exp 1 - Probe_Characterization'!P43</f>
        <v>0.90200000000000002</v>
      </c>
      <c r="N38">
        <f>'Exp 1 - Probe_Characterization'!S43</f>
        <v>1.50634</v>
      </c>
      <c r="O38">
        <f>'Exp 1 - Probe_Characterization'!U43</f>
        <v>0.37136783555023495</v>
      </c>
      <c r="P38">
        <f>'Exp 1 - Probe_Characterization'!V43</f>
        <v>0.5602501021923123</v>
      </c>
      <c r="Q38">
        <f>'Exp 1 - Probe_Characterization'!X43</f>
        <v>0</v>
      </c>
      <c r="R38">
        <f t="shared" si="2"/>
        <v>54.926480607089445</v>
      </c>
      <c r="S38">
        <f>'Exp 1 - Probe_Characterization'!AA43</f>
        <v>7.0497969971101665E-2</v>
      </c>
      <c r="T38">
        <f>'Exp 1 - Probe_Characterization'!AM43</f>
        <v>27</v>
      </c>
      <c r="U38">
        <f>'Exp 1 - Probe_Characterization'!AO43</f>
        <v>0</v>
      </c>
      <c r="V38">
        <f>IF($L38="","",$L38*Equipment!$B$16/100)</f>
        <v>5.0099999999999999E-2</v>
      </c>
      <c r="W38">
        <f>IF($P38="","",$P38*Equipment!$B$19/100)</f>
        <v>3.3615006131538741E-2</v>
      </c>
      <c r="X38" t="str">
        <f t="shared" si="3"/>
        <v>ok</v>
      </c>
      <c r="Y38">
        <f>'Exp 1 - Probe_Characterization'!AR43</f>
        <v>0</v>
      </c>
    </row>
    <row r="39" spans="1:25" x14ac:dyDescent="0.3">
      <c r="A39" t="s">
        <v>16</v>
      </c>
      <c r="B39" t="str">
        <f>'Exp 1 - Probe_Characterization'!A44</f>
        <v>BLOCK 4</v>
      </c>
      <c r="C39" t="str">
        <f>'Exp 1 - Probe_Characterization'!C44</f>
        <v>SQUARE</v>
      </c>
      <c r="D39">
        <f>'Exp 1 - Probe_Characterization'!D44</f>
        <v>0</v>
      </c>
      <c r="E39">
        <f>'Exp 1 - Probe_Characterization'!E44</f>
        <v>20</v>
      </c>
      <c r="F39">
        <f>'Exp 1 - Probe_Characterization'!G44</f>
        <v>100</v>
      </c>
      <c r="G39">
        <f>'Exp 1 - Probe_Characterization'!H44</f>
        <v>2</v>
      </c>
      <c r="H39">
        <f>'Exp 1 - Probe_Characterization'!I44</f>
        <v>2</v>
      </c>
      <c r="I39">
        <f>'Exp 1 - Probe_Characterization'!L44</f>
        <v>0.56000000000000005</v>
      </c>
      <c r="J39">
        <f>'Exp 1 - Probe_Characterization'!M44</f>
        <v>1.1200000000000001</v>
      </c>
      <c r="K39">
        <f>'Exp 1 - Probe_Characterization'!N44</f>
        <v>2.4500000000000002</v>
      </c>
      <c r="L39">
        <f>'Exp 1 - Probe_Characterization'!O44</f>
        <v>0.77600000000000002</v>
      </c>
      <c r="M39">
        <f>'Exp 1 - Probe_Characterization'!P44</f>
        <v>0.93500000000000005</v>
      </c>
      <c r="N39">
        <f>'Exp 1 - Probe_Characterization'!S44</f>
        <v>0.72556000000000009</v>
      </c>
      <c r="O39">
        <f>'Exp 1 - Probe_Characterization'!U44</f>
        <v>0.27781767805443641</v>
      </c>
      <c r="P39">
        <f>'Exp 1 - Probe_Characterization'!V44</f>
        <v>0.20202891406404458</v>
      </c>
      <c r="Q39">
        <f>'Exp 1 - Probe_Characterization'!X44</f>
        <v>0</v>
      </c>
      <c r="R39">
        <f t="shared" si="2"/>
        <v>18.038295898575406</v>
      </c>
      <c r="S39">
        <f>'Exp 1 - Probe_Characterization'!AA44</f>
        <v>0.12776191125177114</v>
      </c>
      <c r="T39">
        <f>'Exp 1 - Probe_Characterization'!AM44</f>
        <v>27</v>
      </c>
      <c r="U39">
        <f>'Exp 1 - Probe_Characterization'!AO44</f>
        <v>0</v>
      </c>
      <c r="V39">
        <f>IF($L39="","",$L39*Equipment!$B$16/100)</f>
        <v>2.3280000000000002E-2</v>
      </c>
      <c r="W39">
        <f>IF($P39="","",$P39*Equipment!$B$19/100)</f>
        <v>1.2121734843842675E-2</v>
      </c>
      <c r="X39" t="str">
        <f t="shared" si="3"/>
        <v>ok</v>
      </c>
      <c r="Y39">
        <f>'Exp 1 - Probe_Characterization'!AR44</f>
        <v>0</v>
      </c>
    </row>
    <row r="40" spans="1:25" x14ac:dyDescent="0.3">
      <c r="A40" t="s">
        <v>16</v>
      </c>
      <c r="B40" t="str">
        <f>'Exp 1 - Probe_Characterization'!A45</f>
        <v>BLOCK 4</v>
      </c>
      <c r="C40" t="str">
        <f>'Exp 1 - Probe_Characterization'!C45</f>
        <v>SQUARE</v>
      </c>
      <c r="D40">
        <f>'Exp 1 - Probe_Characterization'!D45</f>
        <v>0</v>
      </c>
      <c r="E40">
        <f>'Exp 1 - Probe_Characterization'!E45</f>
        <v>30</v>
      </c>
      <c r="F40">
        <f>'Exp 1 - Probe_Characterization'!G45</f>
        <v>100</v>
      </c>
      <c r="G40">
        <f>'Exp 1 - Probe_Characterization'!H45</f>
        <v>2</v>
      </c>
      <c r="H40">
        <f>'Exp 1 - Probe_Characterization'!I45</f>
        <v>2.0099999999999998</v>
      </c>
      <c r="I40">
        <f>'Exp 1 - Probe_Characterization'!L45</f>
        <v>0.55000000000000004</v>
      </c>
      <c r="J40">
        <f>'Exp 1 - Probe_Characterization'!M45</f>
        <v>1.1000000000000001</v>
      </c>
      <c r="K40">
        <f>'Exp 1 - Probe_Characterization'!N45</f>
        <v>1.44</v>
      </c>
      <c r="L40">
        <f>'Exp 1 - Probe_Characterization'!O45</f>
        <v>0.45400000000000001</v>
      </c>
      <c r="M40">
        <f>'Exp 1 - Probe_Characterization'!P45</f>
        <v>0.89900000000000002</v>
      </c>
      <c r="N40">
        <f>'Exp 1 - Probe_Characterization'!S45</f>
        <v>0.40814600000000001</v>
      </c>
      <c r="O40">
        <f>'Exp 1 - Probe_Characterization'!U45</f>
        <v>0.1536757125069923</v>
      </c>
      <c r="P40">
        <f>'Exp 1 - Probe_Characterization'!V45</f>
        <v>6.3011723244320819E-2</v>
      </c>
      <c r="Q40">
        <f>'Exp 1 - Probe_Characterization'!X45</f>
        <v>0</v>
      </c>
      <c r="R40">
        <f t="shared" si="2"/>
        <v>5.7283384767564378</v>
      </c>
      <c r="S40">
        <f>'Exp 1 - Probe_Characterization'!AA45</f>
        <v>0.17046470218564139</v>
      </c>
      <c r="T40">
        <f>'Exp 1 - Probe_Characterization'!AM45</f>
        <v>27</v>
      </c>
      <c r="U40">
        <f>'Exp 1 - Probe_Characterization'!AO45</f>
        <v>0</v>
      </c>
      <c r="V40">
        <f>IF($L40="","",$L40*Equipment!$B$16/100)</f>
        <v>1.362E-2</v>
      </c>
      <c r="W40">
        <f>IF($P40="","",$P40*Equipment!$B$19/100)</f>
        <v>3.7807033946592496E-3</v>
      </c>
      <c r="X40" t="str">
        <f t="shared" si="3"/>
        <v>ok</v>
      </c>
      <c r="Y40">
        <f>'Exp 1 - Probe_Characterization'!AR45</f>
        <v>0</v>
      </c>
    </row>
    <row r="41" spans="1:25" x14ac:dyDescent="0.3">
      <c r="A41" t="s">
        <v>16</v>
      </c>
      <c r="B41" t="str">
        <f>'Exp 1 - Probe_Characterization'!A46</f>
        <v>BLOCK 4</v>
      </c>
      <c r="C41" t="str">
        <f>'Exp 1 - Probe_Characterization'!C46</f>
        <v>SQUARE</v>
      </c>
      <c r="D41">
        <f>'Exp 1 - Probe_Characterization'!D46</f>
        <v>0</v>
      </c>
      <c r="E41">
        <f>'Exp 1 - Probe_Characterization'!E46</f>
        <v>40</v>
      </c>
      <c r="F41">
        <f>'Exp 1 - Probe_Characterization'!G46</f>
        <v>100</v>
      </c>
      <c r="G41">
        <f>'Exp 1 - Probe_Characterization'!H46</f>
        <v>2</v>
      </c>
      <c r="H41">
        <f>'Exp 1 - Probe_Characterization'!I46</f>
        <v>2.02</v>
      </c>
      <c r="I41">
        <f>'Exp 1 - Probe_Characterization'!L46</f>
        <v>0.54</v>
      </c>
      <c r="J41">
        <f>'Exp 1 - Probe_Characterization'!M46</f>
        <v>1.08</v>
      </c>
      <c r="K41">
        <f>'Exp 1 - Probe_Characterization'!N46</f>
        <v>1.26</v>
      </c>
      <c r="L41">
        <f>'Exp 1 - Probe_Characterization'!O46</f>
        <v>0.32900000000000001</v>
      </c>
      <c r="M41">
        <f>'Exp 1 - Probe_Characterization'!P46</f>
        <v>0.79900000000000004</v>
      </c>
      <c r="N41">
        <f>'Exp 1 - Probe_Characterization'!S46</f>
        <v>0.26287100000000002</v>
      </c>
      <c r="O41">
        <f>'Exp 1 - Probe_Characterization'!U46</f>
        <v>7.8285099635289554E-2</v>
      </c>
      <c r="P41">
        <f>'Exp 1 - Probe_Characterization'!V46</f>
        <v>2.0777154051496605E-2</v>
      </c>
      <c r="Q41">
        <f>'Exp 1 - Probe_Characterization'!X46</f>
        <v>0</v>
      </c>
      <c r="R41">
        <f t="shared" si="2"/>
        <v>1.9238105603237596</v>
      </c>
      <c r="S41">
        <f>'Exp 1 - Probe_Characterization'!AA46</f>
        <v>0.53596673617380275</v>
      </c>
      <c r="T41">
        <f>'Exp 1 - Probe_Characterization'!AM46</f>
        <v>27</v>
      </c>
      <c r="U41">
        <f>'Exp 1 - Probe_Characterization'!AO46</f>
        <v>0</v>
      </c>
      <c r="V41">
        <f>IF($L41="","",$L41*Equipment!$B$16/100)</f>
        <v>9.8700000000000003E-3</v>
      </c>
      <c r="W41">
        <f>IF($P41="","",$P41*Equipment!$B$19/100)</f>
        <v>1.2466292430897963E-3</v>
      </c>
      <c r="X41" t="str">
        <f t="shared" si="3"/>
        <v>ok</v>
      </c>
      <c r="Y41">
        <f>'Exp 1 - Probe_Characterization'!AR46</f>
        <v>0</v>
      </c>
    </row>
    <row r="42" spans="1:25" x14ac:dyDescent="0.3">
      <c r="A42" t="s">
        <v>16</v>
      </c>
      <c r="B42" t="str">
        <f>'Exp 1 - Probe_Characterization'!A47</f>
        <v>BLOCK 4</v>
      </c>
      <c r="C42" t="str">
        <f>'Exp 1 - Probe_Characterization'!C47</f>
        <v>SQUARE</v>
      </c>
      <c r="D42">
        <f>'Exp 1 - Probe_Characterization'!D47</f>
        <v>0</v>
      </c>
      <c r="E42">
        <f>'Exp 1 - Probe_Characterization'!E47</f>
        <v>50</v>
      </c>
      <c r="F42">
        <f>'Exp 1 - Probe_Characterization'!G47</f>
        <v>100</v>
      </c>
      <c r="G42">
        <f>'Exp 1 - Probe_Characterization'!H47</f>
        <v>2</v>
      </c>
      <c r="H42">
        <f>'Exp 1 - Probe_Characterization'!I47</f>
        <v>2.0099999999999998</v>
      </c>
      <c r="I42">
        <f>'Exp 1 - Probe_Characterization'!L47</f>
        <v>0.52</v>
      </c>
      <c r="J42">
        <f>'Exp 1 - Probe_Characterization'!M47</f>
        <v>1.04</v>
      </c>
      <c r="K42">
        <f>'Exp 1 - Probe_Characterization'!N47</f>
        <v>0.79900000000000004</v>
      </c>
      <c r="L42">
        <f>'Exp 1 - Probe_Characterization'!O47</f>
        <v>0.247</v>
      </c>
      <c r="M42">
        <f>'Exp 1 - Probe_Characterization'!P47</f>
        <v>0.88400000000000001</v>
      </c>
      <c r="N42">
        <f>'Exp 1 - Probe_Characterization'!S47</f>
        <v>0.21834799999999999</v>
      </c>
      <c r="O42">
        <f>'Exp 1 - Probe_Characterization'!U47</f>
        <v>1.7452406437283598E-2</v>
      </c>
      <c r="P42">
        <f>'Exp 1 - Probe_Characterization'!V47</f>
        <v>3.9826150569069628E-3</v>
      </c>
      <c r="Q42">
        <f>'Exp 1 - Probe_Characterization'!X47</f>
        <v>0</v>
      </c>
      <c r="R42">
        <f t="shared" si="2"/>
        <v>0.38294375547182335</v>
      </c>
      <c r="S42">
        <f>'Exp 1 - Probe_Characterization'!AA47</f>
        <v>0.1399456645816711</v>
      </c>
      <c r="T42">
        <f>'Exp 1 - Probe_Characterization'!AM47</f>
        <v>27</v>
      </c>
      <c r="U42">
        <f>'Exp 1 - Probe_Characterization'!AO47</f>
        <v>0</v>
      </c>
      <c r="V42">
        <f>IF($L42="","",$L42*Equipment!$B$16/100)</f>
        <v>7.4099999999999999E-3</v>
      </c>
      <c r="W42">
        <f>IF($P42="","",$P42*Equipment!$B$19/100)</f>
        <v>2.3895690341441776E-4</v>
      </c>
      <c r="X42" t="str">
        <f t="shared" si="3"/>
        <v>ok</v>
      </c>
      <c r="Y42">
        <f>'Exp 1 - Probe_Characterization'!AR47</f>
        <v>0</v>
      </c>
    </row>
    <row r="43" spans="1:25" x14ac:dyDescent="0.3">
      <c r="A43" t="s">
        <v>16</v>
      </c>
      <c r="B43" t="str">
        <f>'Exp 1 - Probe_Characterization'!A48</f>
        <v>BLOCK 4</v>
      </c>
      <c r="C43" t="str">
        <f>'Exp 1 - Probe_Characterization'!C48</f>
        <v>SQUARE</v>
      </c>
      <c r="D43">
        <f>'Exp 1 - Probe_Characterization'!D48</f>
        <v>0</v>
      </c>
      <c r="E43">
        <f>'Exp 1 - Probe_Characterization'!E48</f>
        <v>60</v>
      </c>
      <c r="F43">
        <f>'Exp 1 - Probe_Characterization'!G48</f>
        <v>100</v>
      </c>
      <c r="G43">
        <f>'Exp 1 - Probe_Characterization'!H48</f>
        <v>2</v>
      </c>
      <c r="H43">
        <f>'Exp 1 - Probe_Characterization'!I48</f>
        <v>2.0099999999999998</v>
      </c>
      <c r="I43">
        <f>'Exp 1 - Probe_Characterization'!L48</f>
        <v>0.48</v>
      </c>
      <c r="J43">
        <f>'Exp 1 - Probe_Characterization'!M48</f>
        <v>0.96</v>
      </c>
      <c r="K43">
        <f>'Exp 1 - Probe_Characterization'!N48</f>
        <v>1</v>
      </c>
      <c r="L43">
        <f>'Exp 1 - Probe_Characterization'!O48</f>
        <v>0.246</v>
      </c>
      <c r="M43">
        <f>'Exp 1 - Probe_Characterization'!P48</f>
        <v>0.77800000000000002</v>
      </c>
      <c r="N43">
        <f>'Exp 1 - Probe_Characterization'!S48</f>
        <v>0.191388</v>
      </c>
      <c r="O43">
        <f>'Exp 1 - Probe_Characterization'!U48</f>
        <v>-1.7452406437283477E-2</v>
      </c>
      <c r="P43">
        <f>'Exp 1 - Probe_Characterization'!V48</f>
        <v>-3.1861027593406274E-3</v>
      </c>
      <c r="Q43">
        <f>'Exp 1 - Probe_Characterization'!X48</f>
        <v>0</v>
      </c>
      <c r="R43">
        <f t="shared" si="2"/>
        <v>-0.33188570409798201</v>
      </c>
      <c r="S43">
        <f>'Exp 1 - Probe_Characterization'!AA48</f>
        <v>0.81329027425769451</v>
      </c>
      <c r="T43">
        <f>'Exp 1 - Probe_Characterization'!AM48</f>
        <v>27</v>
      </c>
      <c r="U43">
        <f>'Exp 1 - Probe_Characterization'!AO48</f>
        <v>0</v>
      </c>
      <c r="V43">
        <f>IF($L43="","",$L43*Equipment!$B$16/100)</f>
        <v>7.3800000000000003E-3</v>
      </c>
      <c r="W43">
        <f>IF($P43="","",$P43*Equipment!$B$19/100)</f>
        <v>-1.9116616556043764E-4</v>
      </c>
      <c r="X43" t="str">
        <f t="shared" si="3"/>
        <v>ok</v>
      </c>
      <c r="Y43">
        <f>'Exp 1 - Probe_Characterization'!AR48</f>
        <v>0</v>
      </c>
    </row>
    <row r="44" spans="1:25" x14ac:dyDescent="0.3">
      <c r="A44" t="s">
        <v>17</v>
      </c>
      <c r="B44" t="str">
        <f>'Exp 2.1 - DBD_V_sweep'!A5</f>
        <v>BLOCK 1</v>
      </c>
      <c r="C44" t="str">
        <f>'Exp 2.1 - DBD_V_sweep'!C5</f>
        <v>SQUARE</v>
      </c>
      <c r="D44">
        <f>'Exp 2.1 - DBD_V_sweep'!D5</f>
        <v>3</v>
      </c>
      <c r="E44">
        <f>'Exp 2.1 - DBD_V_sweep'!E5</f>
        <v>5</v>
      </c>
      <c r="F44">
        <f>'Exp 2.1 - DBD_V_sweep'!G5</f>
        <v>100</v>
      </c>
      <c r="G44">
        <f>'Exp 2.1 - DBD_V_sweep'!H5</f>
        <v>1</v>
      </c>
      <c r="H44">
        <f>'Exp 2.1 - DBD_V_sweep'!I5</f>
        <v>0.99099999999999999</v>
      </c>
      <c r="I44">
        <f>'Exp 2.1 - DBD_V_sweep'!L5</f>
        <v>0.13</v>
      </c>
      <c r="J44">
        <f>'Exp 2.1 - DBD_V_sweep'!M5</f>
        <v>0.13</v>
      </c>
      <c r="K44">
        <f>'Exp 2.1 - DBD_V_sweep'!N5</f>
        <v>1.9830000000000001</v>
      </c>
      <c r="L44">
        <f>'Exp 2.1 - DBD_V_sweep'!O5</f>
        <v>0.66900000000000004</v>
      </c>
      <c r="M44">
        <f>'Exp 2.1 - DBD_V_sweep'!P5</f>
        <v>0.45</v>
      </c>
      <c r="N44">
        <f>'Exp 2.1 - DBD_V_sweep'!S5</f>
        <v>0.30105000000000004</v>
      </c>
      <c r="O44">
        <f>'Exp 2.1 - DBD_V_sweep'!U5</f>
        <v>0.30236989075044457</v>
      </c>
      <c r="P44">
        <f>'Exp 2.1 - DBD_V_sweep'!V5</f>
        <v>9.1212262438534239E-2</v>
      </c>
      <c r="Q44">
        <f>'Exp 2.1 - DBD_V_sweep'!X5</f>
        <v>0</v>
      </c>
      <c r="R44">
        <f t="shared" si="2"/>
        <v>70.163278798872483</v>
      </c>
      <c r="S44">
        <f>'Exp 2.1 - DBD_V_sweep'!AA5</f>
        <v>0.24904076328012636</v>
      </c>
      <c r="T44">
        <f>'Exp 2.1 - DBD_V_sweep'!AM5</f>
        <v>24</v>
      </c>
      <c r="U44">
        <f>'Exp 2.1 - DBD_V_sweep'!AO5</f>
        <v>0</v>
      </c>
      <c r="V44">
        <f>IF($L44="","",$L44*Equipment!$B$16/100)</f>
        <v>2.0070000000000001E-2</v>
      </c>
      <c r="W44">
        <f>IF($P44="","",$P44*Equipment!$B$19/100)</f>
        <v>5.4727357463120541E-3</v>
      </c>
      <c r="X44" t="str">
        <f t="shared" si="3"/>
        <v>ok</v>
      </c>
      <c r="Y44">
        <f>'Exp 2.1 - DBD_V_sweep'!AR5</f>
        <v>0</v>
      </c>
    </row>
    <row r="45" spans="1:25" x14ac:dyDescent="0.3">
      <c r="A45" t="s">
        <v>17</v>
      </c>
      <c r="B45" t="str">
        <f>'Exp 2.1 - DBD_V_sweep'!A6</f>
        <v>BLOCK 1</v>
      </c>
      <c r="C45" t="str">
        <f>'Exp 2.1 - DBD_V_sweep'!C6</f>
        <v>SQUARE</v>
      </c>
      <c r="D45">
        <f>'Exp 2.1 - DBD_V_sweep'!D6</f>
        <v>3</v>
      </c>
      <c r="E45">
        <f>'Exp 2.1 - DBD_V_sweep'!E6</f>
        <v>5</v>
      </c>
      <c r="F45">
        <f>'Exp 2.1 - DBD_V_sweep'!G6</f>
        <v>100</v>
      </c>
      <c r="G45">
        <f>'Exp 2.1 - DBD_V_sweep'!H6</f>
        <v>2</v>
      </c>
      <c r="H45">
        <f>'Exp 2.1 - DBD_V_sweep'!I6</f>
        <v>1.994</v>
      </c>
      <c r="I45">
        <f>'Exp 2.1 - DBD_V_sweep'!L6</f>
        <v>0.3</v>
      </c>
      <c r="J45">
        <f>'Exp 2.1 - DBD_V_sweep'!M6</f>
        <v>0.6</v>
      </c>
      <c r="K45">
        <f>'Exp 2.1 - DBD_V_sweep'!N6</f>
        <v>3.45</v>
      </c>
      <c r="L45">
        <f>'Exp 2.1 - DBD_V_sweep'!O6</f>
        <v>1.27</v>
      </c>
      <c r="M45">
        <f>'Exp 2.1 - DBD_V_sweep'!P6</f>
        <v>0.58599999999999997</v>
      </c>
      <c r="N45">
        <f>'Exp 2.1 - DBD_V_sweep'!S6</f>
        <v>0.74421999999999999</v>
      </c>
      <c r="O45">
        <f>'Exp 2.1 - DBD_V_sweep'!U6</f>
        <v>0.35020738125946743</v>
      </c>
      <c r="P45">
        <f>'Exp 2.1 - DBD_V_sweep'!V6</f>
        <v>0.26105995747731764</v>
      </c>
      <c r="Q45">
        <f>'Exp 2.1 - DBD_V_sweep'!X6</f>
        <v>0</v>
      </c>
      <c r="R45">
        <f t="shared" si="2"/>
        <v>43.509992912886275</v>
      </c>
      <c r="S45">
        <f>'Exp 2.1 - DBD_V_sweep'!AA6</f>
        <v>0.11728272205060758</v>
      </c>
      <c r="T45">
        <f>'Exp 2.1 - DBD_V_sweep'!AM6</f>
        <v>25</v>
      </c>
      <c r="U45">
        <f>'Exp 2.1 - DBD_V_sweep'!AO6</f>
        <v>0</v>
      </c>
      <c r="V45">
        <f>IF($L45="","",$L45*Equipment!$B$16/100)</f>
        <v>3.8100000000000002E-2</v>
      </c>
      <c r="W45">
        <f>IF($P45="","",$P45*Equipment!$B$19/100)</f>
        <v>1.5663597448639058E-2</v>
      </c>
      <c r="X45" t="str">
        <f t="shared" si="3"/>
        <v>ok</v>
      </c>
      <c r="Y45">
        <f>'Exp 2.1 - DBD_V_sweep'!AR6</f>
        <v>0</v>
      </c>
    </row>
    <row r="46" spans="1:25" x14ac:dyDescent="0.3">
      <c r="A46" t="s">
        <v>17</v>
      </c>
      <c r="B46" t="str">
        <f>'Exp 2.1 - DBD_V_sweep'!A7</f>
        <v>BLOCK 1</v>
      </c>
      <c r="C46" t="str">
        <f>'Exp 2.1 - DBD_V_sweep'!C7</f>
        <v>SQUARE</v>
      </c>
      <c r="D46">
        <f>'Exp 2.1 - DBD_V_sweep'!D7</f>
        <v>3</v>
      </c>
      <c r="E46">
        <f>'Exp 2.1 - DBD_V_sweep'!E7</f>
        <v>5</v>
      </c>
      <c r="F46">
        <f>'Exp 2.1 - DBD_V_sweep'!G7</f>
        <v>100</v>
      </c>
      <c r="G46">
        <f>'Exp 2.1 - DBD_V_sweep'!H7</f>
        <v>3</v>
      </c>
      <c r="H46">
        <f>'Exp 2.1 - DBD_V_sweep'!I7</f>
        <v>2.98</v>
      </c>
      <c r="I46">
        <f>'Exp 2.1 - DBD_V_sweep'!L7</f>
        <v>0.51</v>
      </c>
      <c r="J46">
        <f>'Exp 2.1 - DBD_V_sweep'!M7</f>
        <v>1.53</v>
      </c>
      <c r="K46">
        <f>'Exp 2.1 - DBD_V_sweep'!N7</f>
        <v>4.01</v>
      </c>
      <c r="L46">
        <f>'Exp 2.1 - DBD_V_sweep'!O7</f>
        <v>1.54</v>
      </c>
      <c r="M46">
        <f>'Exp 2.1 - DBD_V_sweep'!P7</f>
        <v>0.747</v>
      </c>
      <c r="N46">
        <f>'Exp 2.1 - DBD_V_sweep'!S7</f>
        <v>1.15038</v>
      </c>
      <c r="O46">
        <f>'Exp 2.1 - DBD_V_sweep'!U7</f>
        <v>0.36812455268467809</v>
      </c>
      <c r="P46">
        <f>'Exp 2.1 - DBD_V_sweep'!V7</f>
        <v>0.42413037393294528</v>
      </c>
      <c r="Q46">
        <f>'Exp 2.1 - DBD_V_sweep'!X7</f>
        <v>0</v>
      </c>
      <c r="R46">
        <f t="shared" si="2"/>
        <v>27.720939472741524</v>
      </c>
      <c r="S46">
        <f>'Exp 2.1 - DBD_V_sweep'!AA7</f>
        <v>0.12821282508516391</v>
      </c>
      <c r="T46">
        <f>'Exp 2.1 - DBD_V_sweep'!AM7</f>
        <v>26</v>
      </c>
      <c r="U46">
        <f>'Exp 2.1 - DBD_V_sweep'!AO7</f>
        <v>0</v>
      </c>
      <c r="V46">
        <f>IF($L46="","",$L46*Equipment!$B$16/100)</f>
        <v>4.6199999999999998E-2</v>
      </c>
      <c r="W46">
        <f>IF($P46="","",$P46*Equipment!$B$19/100)</f>
        <v>2.5447822435976715E-2</v>
      </c>
      <c r="X46" t="str">
        <f t="shared" si="3"/>
        <v>ok</v>
      </c>
      <c r="Y46">
        <f>'Exp 2.1 - DBD_V_sweep'!AR7</f>
        <v>0</v>
      </c>
    </row>
    <row r="47" spans="1:25" x14ac:dyDescent="0.3">
      <c r="A47" t="s">
        <v>17</v>
      </c>
      <c r="B47" t="str">
        <f>'Exp 2.1 - DBD_V_sweep'!A8</f>
        <v>BLOCK 1</v>
      </c>
      <c r="C47" t="str">
        <f>'Exp 2.1 - DBD_V_sweep'!C8</f>
        <v>SQUARE</v>
      </c>
      <c r="D47">
        <f>'Exp 2.1 - DBD_V_sweep'!D8</f>
        <v>3</v>
      </c>
      <c r="E47">
        <f>'Exp 2.1 - DBD_V_sweep'!E8</f>
        <v>5</v>
      </c>
      <c r="F47">
        <f>'Exp 2.1 - DBD_V_sweep'!G8</f>
        <v>100</v>
      </c>
      <c r="G47">
        <f>'Exp 2.1 - DBD_V_sweep'!H8</f>
        <v>4</v>
      </c>
      <c r="H47">
        <f>'Exp 2.1 - DBD_V_sweep'!I8</f>
        <v>3.98</v>
      </c>
      <c r="I47">
        <f>'Exp 2.1 - DBD_V_sweep'!L8</f>
        <v>0.73</v>
      </c>
      <c r="J47">
        <f>'Exp 2.1 - DBD_V_sweep'!M8</f>
        <v>2.92</v>
      </c>
      <c r="K47">
        <f>'Exp 2.1 - DBD_V_sweep'!N8</f>
        <v>4.5</v>
      </c>
      <c r="L47">
        <f>'Exp 2.1 - DBD_V_sweep'!O8</f>
        <v>1.71</v>
      </c>
      <c r="M47">
        <f>'Exp 2.1 - DBD_V_sweep'!P8</f>
        <v>0.98699999999999999</v>
      </c>
      <c r="N47">
        <f>'Exp 2.1 - DBD_V_sweep'!S8</f>
        <v>1.68777</v>
      </c>
      <c r="O47">
        <f>'Exp 2.1 - DBD_V_sweep'!U8</f>
        <v>0.30403306092549021</v>
      </c>
      <c r="P47">
        <f>'Exp 2.1 - DBD_V_sweep'!V8</f>
        <v>0.51416635632690499</v>
      </c>
      <c r="Q47">
        <f>'Exp 2.1 - DBD_V_sweep'!X8</f>
        <v>0</v>
      </c>
      <c r="R47">
        <f t="shared" si="2"/>
        <v>17.608436860510444</v>
      </c>
      <c r="S47">
        <f>'Exp 2.1 - DBD_V_sweep'!AA8</f>
        <v>0.18284422404646647</v>
      </c>
      <c r="T47">
        <f>'Exp 2.1 - DBD_V_sweep'!AM8</f>
        <v>29</v>
      </c>
      <c r="U47">
        <f>'Exp 2.1 - DBD_V_sweep'!AO8</f>
        <v>1</v>
      </c>
      <c r="V47">
        <f>IF($L47="","",$L47*Equipment!$B$16/100)</f>
        <v>5.1299999999999998E-2</v>
      </c>
      <c r="W47">
        <f>IF($P47="","",$P47*Equipment!$B$19/100)</f>
        <v>3.08499813796143E-2</v>
      </c>
      <c r="X47" t="str">
        <f t="shared" si="3"/>
        <v>ok</v>
      </c>
      <c r="Y47">
        <f>'Exp 2.1 - DBD_V_sweep'!AR8</f>
        <v>0</v>
      </c>
    </row>
    <row r="48" spans="1:25" x14ac:dyDescent="0.3">
      <c r="A48" t="s">
        <v>17</v>
      </c>
      <c r="B48" t="str">
        <f>'Exp 2.1 - DBD_V_sweep'!A9</f>
        <v>BLOCK 1</v>
      </c>
      <c r="C48" t="str">
        <f>'Exp 2.1 - DBD_V_sweep'!C9</f>
        <v>SQUARE</v>
      </c>
      <c r="D48">
        <f>'Exp 2.1 - DBD_V_sweep'!D9</f>
        <v>3</v>
      </c>
      <c r="E48">
        <f>'Exp 2.1 - DBD_V_sweep'!E9</f>
        <v>5</v>
      </c>
      <c r="F48">
        <f>'Exp 2.1 - DBD_V_sweep'!G9</f>
        <v>100</v>
      </c>
      <c r="G48">
        <f>'Exp 2.1 - DBD_V_sweep'!H9</f>
        <v>5</v>
      </c>
      <c r="H48">
        <f>'Exp 2.1 - DBD_V_sweep'!I9</f>
        <v>4.96</v>
      </c>
      <c r="I48">
        <f>'Exp 2.1 - DBD_V_sweep'!L9</f>
        <v>1.48</v>
      </c>
      <c r="J48">
        <f>'Exp 2.1 - DBD_V_sweep'!M9</f>
        <v>7.4</v>
      </c>
      <c r="K48">
        <f>'Exp 2.1 - DBD_V_sweep'!N9</f>
        <v>6.47</v>
      </c>
      <c r="L48">
        <f>'Exp 2.1 - DBD_V_sweep'!O9</f>
        <v>2.27</v>
      </c>
      <c r="M48">
        <f>'Exp 2.1 - DBD_V_sweep'!P9</f>
        <v>1.96</v>
      </c>
      <c r="N48">
        <f>'Exp 2.1 - DBD_V_sweep'!S9</f>
        <v>4.4492000000000003</v>
      </c>
      <c r="O48">
        <f>'Exp 2.1 - DBD_V_sweep'!U9</f>
        <v>0.34202014332566882</v>
      </c>
      <c r="P48">
        <f>'Exp 2.1 - DBD_V_sweep'!V9</f>
        <v>1.5243052218290822</v>
      </c>
      <c r="Q48">
        <f>'Exp 2.1 - DBD_V_sweep'!X9</f>
        <v>0</v>
      </c>
      <c r="R48">
        <f t="shared" si="2"/>
        <v>20.598719213906517</v>
      </c>
      <c r="S48">
        <f>'Exp 2.1 - DBD_V_sweep'!AA9</f>
        <v>0.1810196386787471</v>
      </c>
      <c r="T48">
        <f>'Exp 2.1 - DBD_V_sweep'!AM9</f>
        <v>34</v>
      </c>
      <c r="U48">
        <f>'Exp 2.1 - DBD_V_sweep'!AO9</f>
        <v>1</v>
      </c>
      <c r="V48">
        <f>IF($L48="","",$L48*Equipment!$B$16/100)</f>
        <v>6.8100000000000008E-2</v>
      </c>
      <c r="W48">
        <f>IF($P48="","",$P48*Equipment!$B$19/100)</f>
        <v>9.1458313309744937E-2</v>
      </c>
      <c r="X48" t="str">
        <f t="shared" si="3"/>
        <v>ok</v>
      </c>
      <c r="Y48">
        <f>'Exp 2.1 - DBD_V_sweep'!AR9</f>
        <v>0</v>
      </c>
    </row>
    <row r="49" spans="1:25" x14ac:dyDescent="0.3">
      <c r="A49" t="s">
        <v>17</v>
      </c>
      <c r="B49" t="str">
        <f>'Exp 2.1 - DBD_V_sweep'!A10</f>
        <v>BLOCK 1</v>
      </c>
      <c r="C49" t="str">
        <f>'Exp 2.1 - DBD_V_sweep'!C10</f>
        <v>SQUARE</v>
      </c>
      <c r="D49">
        <f>'Exp 2.1 - DBD_V_sweep'!D10</f>
        <v>3</v>
      </c>
      <c r="E49">
        <f>'Exp 2.1 - DBD_V_sweep'!E10</f>
        <v>5</v>
      </c>
      <c r="F49">
        <f>'Exp 2.1 - DBD_V_sweep'!G10</f>
        <v>100</v>
      </c>
      <c r="G49">
        <f>'Exp 2.1 - DBD_V_sweep'!H10</f>
        <v>6</v>
      </c>
      <c r="H49">
        <f>'Exp 2.1 - DBD_V_sweep'!I10</f>
        <v>5.96</v>
      </c>
      <c r="I49">
        <f>'Exp 2.1 - DBD_V_sweep'!L10</f>
        <v>1.78</v>
      </c>
      <c r="J49">
        <f>'Exp 2.1 - DBD_V_sweep'!M10</f>
        <v>10.68</v>
      </c>
      <c r="K49">
        <f>'Exp 2.1 - DBD_V_sweep'!N10</f>
        <v>8.2100000000000009</v>
      </c>
      <c r="L49">
        <f>'Exp 2.1 - DBD_V_sweep'!O10</f>
        <v>3.0350000000000001</v>
      </c>
      <c r="M49">
        <f>'Exp 2.1 - DBD_V_sweep'!P10</f>
        <v>3.1680000000000001</v>
      </c>
      <c r="N49">
        <f>'Exp 2.1 - DBD_V_sweep'!S10</f>
        <v>9.6148800000000012</v>
      </c>
      <c r="O49">
        <f>'Exp 2.1 - DBD_V_sweep'!U10</f>
        <v>0.27731465330237792</v>
      </c>
      <c r="P49">
        <f>'Exp 2.1 - DBD_V_sweep'!V10</f>
        <v>2.6723868737629823</v>
      </c>
      <c r="Q49">
        <f>'Exp 2.1 - DBD_V_sweep'!X10</f>
        <v>0</v>
      </c>
      <c r="R49">
        <f t="shared" si="2"/>
        <v>25.022349005271373</v>
      </c>
      <c r="S49">
        <f>'Exp 2.1 - DBD_V_sweep'!AA10</f>
        <v>0.18826667399787078</v>
      </c>
      <c r="T49">
        <f>'Exp 2.1 - DBD_V_sweep'!AM10</f>
        <v>50</v>
      </c>
      <c r="U49">
        <f>'Exp 2.1 - DBD_V_sweep'!AO10</f>
        <v>1</v>
      </c>
      <c r="V49">
        <f>IF($L49="","",$L49*Equipment!$B$16/100)</f>
        <v>9.1050000000000006E-2</v>
      </c>
      <c r="W49">
        <f>IF($P49="","",$P49*Equipment!$B$19/100)</f>
        <v>0.16034321242577895</v>
      </c>
      <c r="X49" t="str">
        <f t="shared" si="3"/>
        <v>ok</v>
      </c>
      <c r="Y49" t="str">
        <f>'Exp 2.1 - DBD_V_sweep'!AR10</f>
        <v>Sudden current increase, then decrease -&gt; impedance change?</v>
      </c>
    </row>
    <row r="50" spans="1:25" x14ac:dyDescent="0.3">
      <c r="A50" t="s">
        <v>17</v>
      </c>
      <c r="B50" t="str">
        <f>'Exp 2.1 - DBD_V_sweep'!A11</f>
        <v>BLOCK 1</v>
      </c>
      <c r="C50" t="str">
        <f>'Exp 2.1 - DBD_V_sweep'!C11</f>
        <v>SQUARE</v>
      </c>
      <c r="D50">
        <f>'Exp 2.1 - DBD_V_sweep'!D11</f>
        <v>3</v>
      </c>
      <c r="E50">
        <f>'Exp 2.1 - DBD_V_sweep'!E11</f>
        <v>5</v>
      </c>
      <c r="F50">
        <f>'Exp 2.1 - DBD_V_sweep'!G11</f>
        <v>100</v>
      </c>
      <c r="G50">
        <f>'Exp 2.1 - DBD_V_sweep'!H11</f>
        <v>6.3</v>
      </c>
      <c r="H50">
        <f>'Exp 2.1 - DBD_V_sweep'!I11</f>
        <v>6.24</v>
      </c>
      <c r="I50">
        <f>'Exp 2.1 - DBD_V_sweep'!L11</f>
        <v>1.89</v>
      </c>
      <c r="J50">
        <f>'Exp 2.1 - DBD_V_sweep'!M11</f>
        <v>11.906999999999998</v>
      </c>
      <c r="K50">
        <f>'Exp 2.1 - DBD_V_sweep'!N11</f>
        <v>8.69</v>
      </c>
      <c r="L50">
        <f>'Exp 2.1 - DBD_V_sweep'!O11</f>
        <v>3.25</v>
      </c>
      <c r="M50">
        <f>'Exp 2.1 - DBD_V_sweep'!P11</f>
        <v>3.4830000000000001</v>
      </c>
      <c r="N50">
        <f>'Exp 2.1 - DBD_V_sweep'!S11</f>
        <v>11.319750000000001</v>
      </c>
      <c r="O50">
        <f>'Exp 2.1 - DBD_V_sweep'!U11</f>
        <v>0.26050450864264824</v>
      </c>
      <c r="P50">
        <f>'Exp 2.1 - DBD_V_sweep'!V11</f>
        <v>2.9560880794040254</v>
      </c>
      <c r="Q50">
        <f>'Exp 2.1 - DBD_V_sweep'!X11</f>
        <v>0</v>
      </c>
      <c r="R50">
        <f t="shared" si="2"/>
        <v>24.826472490165667</v>
      </c>
      <c r="S50">
        <f>'Exp 2.1 - DBD_V_sweep'!AA11</f>
        <v>0.20006201808247814</v>
      </c>
      <c r="T50">
        <f>'Exp 2.1 - DBD_V_sweep'!AM11</f>
        <v>51</v>
      </c>
      <c r="U50">
        <f>'Exp 2.1 - DBD_V_sweep'!AO11</f>
        <v>1</v>
      </c>
      <c r="V50">
        <f>IF($L50="","",$L50*Equipment!$B$16/100)</f>
        <v>9.7500000000000003E-2</v>
      </c>
      <c r="W50">
        <f>IF($P50="","",$P50*Equipment!$B$19/100)</f>
        <v>0.17736528476424152</v>
      </c>
      <c r="X50" t="str">
        <f t="shared" si="3"/>
        <v>ok</v>
      </c>
      <c r="Y50">
        <f>'Exp 2.1 - DBD_V_sweep'!AR11</f>
        <v>0</v>
      </c>
    </row>
    <row r="51" spans="1:25" x14ac:dyDescent="0.3">
      <c r="A51" t="s">
        <v>17</v>
      </c>
      <c r="B51" t="str">
        <f>'Exp 2.1 - DBD_V_sweep'!A12</f>
        <v>BLOCK 1</v>
      </c>
      <c r="C51" t="str">
        <f>'Exp 2.1 - DBD_V_sweep'!C12</f>
        <v>SQUARE</v>
      </c>
      <c r="D51">
        <f>'Exp 2.1 - DBD_V_sweep'!D12</f>
        <v>3</v>
      </c>
      <c r="E51">
        <f>'Exp 2.1 - DBD_V_sweep'!E12</f>
        <v>5</v>
      </c>
      <c r="F51">
        <f>'Exp 2.1 - DBD_V_sweep'!G12</f>
        <v>100</v>
      </c>
      <c r="G51">
        <f>'Exp 2.1 - DBD_V_sweep'!H12</f>
        <v>7</v>
      </c>
      <c r="H51">
        <f>'Exp 2.1 - DBD_V_sweep'!I12</f>
        <v>6.96</v>
      </c>
      <c r="I51">
        <f>'Exp 2.1 - DBD_V_sweep'!L12</f>
        <v>3.01</v>
      </c>
      <c r="J51">
        <f>'Exp 2.1 - DBD_V_sweep'!M12</f>
        <v>21.07</v>
      </c>
      <c r="K51">
        <f>'Exp 2.1 - DBD_V_sweep'!N12</f>
        <v>10.029999999999999</v>
      </c>
      <c r="L51">
        <f>'Exp 2.1 - DBD_V_sweep'!O12</f>
        <v>3.75</v>
      </c>
      <c r="M51">
        <f>'Exp 2.1 - DBD_V_sweep'!P12</f>
        <v>4.59</v>
      </c>
      <c r="N51">
        <f>'Exp 2.1 - DBD_V_sweep'!S12</f>
        <v>17.212499999999999</v>
      </c>
      <c r="O51">
        <f>'Exp 2.1 - DBD_V_sweep'!U12</f>
        <v>2.7921638723568759E-2</v>
      </c>
      <c r="P51">
        <f>'Exp 2.1 - DBD_V_sweep'!V12</f>
        <v>0.49405890804189379</v>
      </c>
      <c r="Q51">
        <f>'Exp 2.1 - DBD_V_sweep'!X12</f>
        <v>0</v>
      </c>
      <c r="R51">
        <f t="shared" si="2"/>
        <v>2.3448453158134495</v>
      </c>
      <c r="S51">
        <f>'Exp 2.1 - DBD_V_sweep'!AA12</f>
        <v>0.30830999205616344</v>
      </c>
      <c r="T51">
        <f>'Exp 2.1 - DBD_V_sweep'!AM12</f>
        <v>69</v>
      </c>
      <c r="U51">
        <f>'Exp 2.1 - DBD_V_sweep'!AO12</f>
        <v>1</v>
      </c>
      <c r="V51">
        <f>IF($L51="","",$L51*Equipment!$B$16/100)</f>
        <v>0.1125</v>
      </c>
      <c r="W51">
        <f>IF($P51="","",$P51*Equipment!$B$19/100)</f>
        <v>2.9643534482513625E-2</v>
      </c>
      <c r="X51" t="str">
        <f t="shared" si="3"/>
        <v>ok</v>
      </c>
      <c r="Y51" t="str">
        <f>'Exp 2.1 - DBD_V_sweep'!AR12</f>
        <v>close to the current limit (current keeps rising slightly)</v>
      </c>
    </row>
    <row r="52" spans="1:25" x14ac:dyDescent="0.3">
      <c r="A52" t="s">
        <v>17</v>
      </c>
      <c r="B52" t="str">
        <f>'Exp 2.1 - DBD_V_sweep'!A14</f>
        <v>BLOCK 2</v>
      </c>
      <c r="C52" t="str">
        <f>'Exp 2.1 - DBD_V_sweep'!C14</f>
        <v>PULSE</v>
      </c>
      <c r="D52">
        <f>'Exp 2.1 - DBD_V_sweep'!D14</f>
        <v>3</v>
      </c>
      <c r="E52">
        <f>'Exp 2.1 - DBD_V_sweep'!E14</f>
        <v>5</v>
      </c>
      <c r="F52">
        <f>'Exp 2.1 - DBD_V_sweep'!G14</f>
        <v>10</v>
      </c>
      <c r="G52">
        <f>'Exp 2.1 - DBD_V_sweep'!H14</f>
        <v>1</v>
      </c>
      <c r="H52">
        <f>'Exp 2.1 - DBD_V_sweep'!I14</f>
        <v>0</v>
      </c>
      <c r="I52">
        <f>'Exp 2.1 - DBD_V_sweep'!L14</f>
        <v>0.06</v>
      </c>
      <c r="J52">
        <f>'Exp 2.1 - DBD_V_sweep'!M14</f>
        <v>0.06</v>
      </c>
      <c r="K52">
        <f>'Exp 2.1 - DBD_V_sweep'!N14</f>
        <v>1.79</v>
      </c>
      <c r="L52">
        <f>'Exp 2.1 - DBD_V_sweep'!O14</f>
        <v>0.21</v>
      </c>
      <c r="M52">
        <f>'Exp 2.1 - DBD_V_sweep'!P14</f>
        <v>9.6000000000000002E-2</v>
      </c>
      <c r="N52">
        <f>'Exp 2.1 - DBD_V_sweep'!S14</f>
        <v>2.0160000000000001E-2</v>
      </c>
      <c r="O52">
        <f>'Exp 2.1 - DBD_V_sweep'!U14</f>
        <v>0.21132479645538879</v>
      </c>
      <c r="P52">
        <f>'Exp 2.1 - DBD_V_sweep'!V14</f>
        <v>4.2738712158889363E-3</v>
      </c>
      <c r="Q52">
        <f>'Exp 2.1 - DBD_V_sweep'!X14</f>
        <v>0</v>
      </c>
      <c r="R52">
        <f t="shared" si="2"/>
        <v>7.1231186931482267</v>
      </c>
      <c r="S52">
        <f>'Exp 2.1 - DBD_V_sweep'!AA14</f>
        <v>2.483269928717537</v>
      </c>
      <c r="T52">
        <f>'Exp 2.1 - DBD_V_sweep'!AM14</f>
        <v>24</v>
      </c>
      <c r="U52">
        <f>'Exp 2.1 - DBD_V_sweep'!AO14</f>
        <v>0</v>
      </c>
      <c r="V52">
        <f>IF($L52="","",$L52*Equipment!$B$16/100)</f>
        <v>6.3E-3</v>
      </c>
      <c r="W52">
        <f>IF($P52="","",$P52*Equipment!$B$19/100)</f>
        <v>2.5643227295333616E-4</v>
      </c>
      <c r="X52" t="str">
        <f t="shared" si="3"/>
        <v>ok</v>
      </c>
      <c r="Y52">
        <f>'Exp 2.1 - DBD_V_sweep'!AR14</f>
        <v>0</v>
      </c>
    </row>
    <row r="53" spans="1:25" x14ac:dyDescent="0.3">
      <c r="A53" t="s">
        <v>17</v>
      </c>
      <c r="B53" t="str">
        <f>'Exp 2.1 - DBD_V_sweep'!A15</f>
        <v>BLOCK 2</v>
      </c>
      <c r="C53" t="str">
        <f>'Exp 2.1 - DBD_V_sweep'!C15</f>
        <v>PULSE</v>
      </c>
      <c r="D53">
        <f>'Exp 2.1 - DBD_V_sweep'!D15</f>
        <v>3</v>
      </c>
      <c r="E53">
        <f>'Exp 2.1 - DBD_V_sweep'!E15</f>
        <v>5</v>
      </c>
      <c r="F53">
        <f>'Exp 2.1 - DBD_V_sweep'!G15</f>
        <v>10</v>
      </c>
      <c r="G53">
        <f>'Exp 2.1 - DBD_V_sweep'!H15</f>
        <v>2</v>
      </c>
      <c r="H53">
        <f>'Exp 2.1 - DBD_V_sweep'!I15</f>
        <v>0</v>
      </c>
      <c r="I53">
        <f>'Exp 2.1 - DBD_V_sweep'!L15</f>
        <v>0.08</v>
      </c>
      <c r="J53">
        <f>'Exp 2.1 - DBD_V_sweep'!M15</f>
        <v>0.16</v>
      </c>
      <c r="K53">
        <f>'Exp 2.1 - DBD_V_sweep'!N15</f>
        <v>1.98</v>
      </c>
      <c r="L53">
        <f>'Exp 2.1 - DBD_V_sweep'!O15</f>
        <v>0.23699999999999999</v>
      </c>
      <c r="M53">
        <f>'Exp 2.1 - DBD_V_sweep'!P15</f>
        <v>0.104</v>
      </c>
      <c r="N53">
        <f>'Exp 2.1 - DBD_V_sweep'!S15</f>
        <v>2.4647999999999996E-2</v>
      </c>
      <c r="O53">
        <f>'Exp 2.1 - DBD_V_sweep'!U15</f>
        <v>0.30901699437494745</v>
      </c>
      <c r="P53">
        <f>'Exp 2.1 - DBD_V_sweep'!V15</f>
        <v>7.631583096229526E-3</v>
      </c>
      <c r="Q53">
        <f>'Exp 2.1 - DBD_V_sweep'!X15</f>
        <v>0</v>
      </c>
      <c r="R53">
        <f t="shared" si="2"/>
        <v>4.7697394351434541</v>
      </c>
      <c r="S53">
        <f>'Exp 2.1 - DBD_V_sweep'!AA15</f>
        <v>2.4354409352352619</v>
      </c>
      <c r="T53">
        <f>'Exp 2.1 - DBD_V_sweep'!AM15</f>
        <v>24</v>
      </c>
      <c r="U53">
        <f>'Exp 2.1 - DBD_V_sweep'!AO15</f>
        <v>0</v>
      </c>
      <c r="V53">
        <f>IF($L53="","",$L53*Equipment!$B$16/100)</f>
        <v>7.11E-3</v>
      </c>
      <c r="W53">
        <f>IF($P53="","",$P53*Equipment!$B$19/100)</f>
        <v>4.5789498577377156E-4</v>
      </c>
      <c r="X53" t="str">
        <f t="shared" si="3"/>
        <v>ok</v>
      </c>
      <c r="Y53">
        <f>'Exp 2.1 - DBD_V_sweep'!AR15</f>
        <v>0</v>
      </c>
    </row>
    <row r="54" spans="1:25" x14ac:dyDescent="0.3">
      <c r="A54" t="s">
        <v>17</v>
      </c>
      <c r="B54" t="str">
        <f>'Exp 2.1 - DBD_V_sweep'!A16</f>
        <v>BLOCK 2</v>
      </c>
      <c r="C54" t="str">
        <f>'Exp 2.1 - DBD_V_sweep'!C16</f>
        <v>PULSE</v>
      </c>
      <c r="D54">
        <f>'Exp 2.1 - DBD_V_sweep'!D16</f>
        <v>3</v>
      </c>
      <c r="E54">
        <f>'Exp 2.1 - DBD_V_sweep'!E16</f>
        <v>5</v>
      </c>
      <c r="F54">
        <f>'Exp 2.1 - DBD_V_sweep'!G16</f>
        <v>10</v>
      </c>
      <c r="G54">
        <f>'Exp 2.1 - DBD_V_sweep'!H16</f>
        <v>3</v>
      </c>
      <c r="H54">
        <f>'Exp 2.1 - DBD_V_sweep'!I16</f>
        <v>0</v>
      </c>
      <c r="I54">
        <f>'Exp 2.1 - DBD_V_sweep'!L16</f>
        <v>0.08</v>
      </c>
      <c r="J54">
        <f>'Exp 2.1 - DBD_V_sweep'!M16</f>
        <v>0.24</v>
      </c>
      <c r="K54">
        <f>'Exp 2.1 - DBD_V_sweep'!N16</f>
        <v>3.93</v>
      </c>
      <c r="L54">
        <f>'Exp 2.1 - DBD_V_sweep'!O16</f>
        <v>0.45500000000000002</v>
      </c>
      <c r="M54">
        <f>'Exp 2.1 - DBD_V_sweep'!P16</f>
        <v>0.16300000000000001</v>
      </c>
      <c r="N54">
        <f>'Exp 2.1 - DBD_V_sweep'!S16</f>
        <v>7.4165000000000009E-2</v>
      </c>
      <c r="O54">
        <f>'Exp 2.1 - DBD_V_sweep'!U16</f>
        <v>0.37460659341591218</v>
      </c>
      <c r="P54">
        <f>'Exp 2.1 - DBD_V_sweep'!V16</f>
        <v>2.7824066501101974E-2</v>
      </c>
      <c r="Q54">
        <f>'Exp 2.1 - DBD_V_sweep'!X16</f>
        <v>0</v>
      </c>
      <c r="R54">
        <f t="shared" si="2"/>
        <v>11.593361042125823</v>
      </c>
      <c r="S54">
        <f>'Exp 2.1 - DBD_V_sweep'!AA16</f>
        <v>2.3258993864963835</v>
      </c>
      <c r="T54">
        <f>'Exp 2.1 - DBD_V_sweep'!AM16</f>
        <v>24</v>
      </c>
      <c r="U54">
        <f>'Exp 2.1 - DBD_V_sweep'!AO16</f>
        <v>0</v>
      </c>
      <c r="V54">
        <f>IF($L54="","",$L54*Equipment!$B$16/100)</f>
        <v>1.3650000000000001E-2</v>
      </c>
      <c r="W54">
        <f>IF($P54="","",$P54*Equipment!$B$19/100)</f>
        <v>1.6694439900661183E-3</v>
      </c>
      <c r="X54" t="str">
        <f t="shared" si="3"/>
        <v>ok</v>
      </c>
      <c r="Y54">
        <f>'Exp 2.1 - DBD_V_sweep'!AR16</f>
        <v>0</v>
      </c>
    </row>
    <row r="55" spans="1:25" x14ac:dyDescent="0.3">
      <c r="A55" t="s">
        <v>17</v>
      </c>
      <c r="B55" t="str">
        <f>'Exp 2.1 - DBD_V_sweep'!A17</f>
        <v>BLOCK 2</v>
      </c>
      <c r="C55" t="str">
        <f>'Exp 2.1 - DBD_V_sweep'!C17</f>
        <v>PULSE</v>
      </c>
      <c r="D55">
        <f>'Exp 2.1 - DBD_V_sweep'!D17</f>
        <v>3</v>
      </c>
      <c r="E55">
        <f>'Exp 2.1 - DBD_V_sweep'!E17</f>
        <v>5</v>
      </c>
      <c r="F55">
        <f>'Exp 2.1 - DBD_V_sweep'!G17</f>
        <v>10</v>
      </c>
      <c r="G55">
        <f>'Exp 2.1 - DBD_V_sweep'!H17</f>
        <v>4</v>
      </c>
      <c r="H55">
        <f>'Exp 2.1 - DBD_V_sweep'!I17</f>
        <v>0</v>
      </c>
      <c r="I55">
        <f>'Exp 2.1 - DBD_V_sweep'!L17</f>
        <v>0.09</v>
      </c>
      <c r="J55">
        <f>'Exp 2.1 - DBD_V_sweep'!M17</f>
        <v>0.36</v>
      </c>
      <c r="K55">
        <f>'Exp 2.1 - DBD_V_sweep'!N17</f>
        <v>3.95</v>
      </c>
      <c r="L55">
        <f>'Exp 2.1 - DBD_V_sweep'!O17</f>
        <v>0.45700000000000002</v>
      </c>
      <c r="M55">
        <f>'Exp 2.1 - DBD_V_sweep'!P17</f>
        <v>0.16400000000000001</v>
      </c>
      <c r="N55">
        <f>'Exp 2.1 - DBD_V_sweep'!S17</f>
        <v>7.4948000000000001E-2</v>
      </c>
      <c r="O55">
        <f>'Exp 2.1 - DBD_V_sweep'!U17</f>
        <v>0.37460659341591218</v>
      </c>
      <c r="P55">
        <f>'Exp 2.1 - DBD_V_sweep'!V17</f>
        <v>2.8117820213370059E-2</v>
      </c>
      <c r="Q55">
        <f>'Exp 2.1 - DBD_V_sweep'!X17</f>
        <v>0</v>
      </c>
      <c r="R55">
        <f t="shared" si="2"/>
        <v>7.8105056148250167</v>
      </c>
      <c r="S55">
        <f>'Exp 2.1 - DBD_V_sweep'!AA17</f>
        <v>2.3121668846515684</v>
      </c>
      <c r="T55">
        <f>'Exp 2.1 - DBD_V_sweep'!AM17</f>
        <v>25</v>
      </c>
      <c r="U55">
        <f>'Exp 2.1 - DBD_V_sweep'!AO17</f>
        <v>0</v>
      </c>
      <c r="V55">
        <f>IF($L55="","",$L55*Equipment!$B$16/100)</f>
        <v>1.371E-2</v>
      </c>
      <c r="W55">
        <f>IF($P55="","",$P55*Equipment!$B$19/100)</f>
        <v>1.6870692128022036E-3</v>
      </c>
      <c r="X55" t="str">
        <f t="shared" si="3"/>
        <v>ok</v>
      </c>
      <c r="Y55">
        <f>'Exp 2.1 - DBD_V_sweep'!AR17</f>
        <v>0</v>
      </c>
    </row>
    <row r="56" spans="1:25" x14ac:dyDescent="0.3">
      <c r="A56" t="s">
        <v>17</v>
      </c>
      <c r="B56" t="str">
        <f>'Exp 2.1 - DBD_V_sweep'!A18</f>
        <v>BLOCK 2</v>
      </c>
      <c r="C56" t="str">
        <f>'Exp 2.1 - DBD_V_sweep'!C18</f>
        <v>PULSE</v>
      </c>
      <c r="D56">
        <f>'Exp 2.1 - DBD_V_sweep'!D18</f>
        <v>3</v>
      </c>
      <c r="E56">
        <f>'Exp 2.1 - DBD_V_sweep'!E18</f>
        <v>5</v>
      </c>
      <c r="F56">
        <f>'Exp 2.1 - DBD_V_sweep'!G18</f>
        <v>10</v>
      </c>
      <c r="G56">
        <f>'Exp 2.1 - DBD_V_sweep'!H18</f>
        <v>5</v>
      </c>
      <c r="H56">
        <f>'Exp 2.1 - DBD_V_sweep'!I18</f>
        <v>0</v>
      </c>
      <c r="I56">
        <f>'Exp 2.1 - DBD_V_sweep'!L18</f>
        <v>0.09</v>
      </c>
      <c r="J56">
        <f>'Exp 2.1 - DBD_V_sweep'!M18</f>
        <v>0.44999999999999996</v>
      </c>
      <c r="K56">
        <f>'Exp 2.1 - DBD_V_sweep'!N18</f>
        <v>3.98</v>
      </c>
      <c r="L56">
        <f>'Exp 2.1 - DBD_V_sweep'!O18</f>
        <v>0.46400000000000002</v>
      </c>
      <c r="M56">
        <f>'Exp 2.1 - DBD_V_sweep'!P18</f>
        <v>0.16900000000000001</v>
      </c>
      <c r="N56">
        <f>'Exp 2.1 - DBD_V_sweep'!S18</f>
        <v>7.8416000000000013E-2</v>
      </c>
      <c r="O56">
        <f>'Exp 2.1 - DBD_V_sweep'!U18</f>
        <v>0.37460659341591218</v>
      </c>
      <c r="P56">
        <f>'Exp 2.1 - DBD_V_sweep'!V18</f>
        <v>2.9418890295293099E-2</v>
      </c>
      <c r="Q56">
        <f>'Exp 2.1 - DBD_V_sweep'!X18</f>
        <v>0</v>
      </c>
      <c r="R56">
        <f t="shared" si="2"/>
        <v>6.5375311767318003</v>
      </c>
      <c r="S56">
        <f>'Exp 2.1 - DBD_V_sweep'!AA18</f>
        <v>2.3356952909956288</v>
      </c>
      <c r="T56">
        <f>'Exp 2.1 - DBD_V_sweep'!AM18</f>
        <v>25</v>
      </c>
      <c r="U56">
        <f>'Exp 2.1 - DBD_V_sweep'!AO18</f>
        <v>0</v>
      </c>
      <c r="V56">
        <f>IF($L56="","",$L56*Equipment!$B$16/100)</f>
        <v>1.3920000000000002E-2</v>
      </c>
      <c r="W56">
        <f>IF($P56="","",$P56*Equipment!$B$19/100)</f>
        <v>1.7651334177175859E-3</v>
      </c>
      <c r="X56" t="str">
        <f t="shared" si="3"/>
        <v>ok</v>
      </c>
      <c r="Y56">
        <f>'Exp 2.1 - DBD_V_sweep'!AR18</f>
        <v>0</v>
      </c>
    </row>
    <row r="57" spans="1:25" x14ac:dyDescent="0.3">
      <c r="A57" t="s">
        <v>17</v>
      </c>
      <c r="B57" t="str">
        <f>'Exp 2.1 - DBD_V_sweep'!A19</f>
        <v>BLOCK 2</v>
      </c>
      <c r="C57" t="str">
        <f>'Exp 2.1 - DBD_V_sweep'!C19</f>
        <v>PULSE</v>
      </c>
      <c r="D57">
        <f>'Exp 2.1 - DBD_V_sweep'!D19</f>
        <v>3</v>
      </c>
      <c r="E57">
        <f>'Exp 2.1 - DBD_V_sweep'!E19</f>
        <v>5</v>
      </c>
      <c r="F57">
        <f>'Exp 2.1 - DBD_V_sweep'!G19</f>
        <v>10</v>
      </c>
      <c r="G57">
        <f>'Exp 2.1 - DBD_V_sweep'!H19</f>
        <v>10</v>
      </c>
      <c r="H57">
        <f>'Exp 2.1 - DBD_V_sweep'!I19</f>
        <v>0</v>
      </c>
      <c r="I57">
        <f>'Exp 2.1 - DBD_V_sweep'!L19</f>
        <v>0.09</v>
      </c>
      <c r="J57">
        <f>'Exp 2.1 - DBD_V_sweep'!M19</f>
        <v>0.89999999999999991</v>
      </c>
      <c r="K57">
        <f>'Exp 2.1 - DBD_V_sweep'!N19</f>
        <v>4.4800000000000004</v>
      </c>
      <c r="L57">
        <f>'Exp 2.1 - DBD_V_sweep'!O19</f>
        <v>0.52</v>
      </c>
      <c r="M57">
        <f>'Exp 2.1 - DBD_V_sweep'!P19</f>
        <v>0.22700000000000001</v>
      </c>
      <c r="N57">
        <f>'Exp 2.1 - DBD_V_sweep'!S19</f>
        <v>0.11804000000000001</v>
      </c>
      <c r="O57">
        <f>'Exp 2.1 - DBD_V_sweep'!U19</f>
        <v>0.30901699437494745</v>
      </c>
      <c r="P57">
        <f>'Exp 2.1 - DBD_V_sweep'!V19</f>
        <v>3.6547876853251116E-2</v>
      </c>
      <c r="Q57">
        <f>'Exp 2.1 - DBD_V_sweep'!X19</f>
        <v>0</v>
      </c>
      <c r="R57">
        <f t="shared" si="2"/>
        <v>4.0608752059167914</v>
      </c>
      <c r="S57" t="str">
        <f>'Exp 2.1 - DBD_V_sweep'!AA19</f>
        <v/>
      </c>
      <c r="T57">
        <f>'Exp 2.1 - DBD_V_sweep'!AM19</f>
        <v>0</v>
      </c>
      <c r="U57">
        <f>'Exp 2.1 - DBD_V_sweep'!AO19</f>
        <v>0</v>
      </c>
      <c r="V57">
        <f>IF($L57="","",$L57*Equipment!$B$16/100)</f>
        <v>1.5600000000000001E-2</v>
      </c>
      <c r="W57">
        <f>IF($P57="","",$P57*Equipment!$B$19/100)</f>
        <v>2.192872611195067E-3</v>
      </c>
      <c r="X57" t="str">
        <f t="shared" si="3"/>
        <v>ok</v>
      </c>
      <c r="Y57">
        <f>'Exp 2.1 - DBD_V_sweep'!AR19</f>
        <v>0</v>
      </c>
    </row>
    <row r="58" spans="1:25" x14ac:dyDescent="0.3">
      <c r="A58" t="s">
        <v>17</v>
      </c>
      <c r="B58" t="str">
        <f>'Exp 2.1 - DBD_V_sweep'!A20</f>
        <v>BLOCK 2</v>
      </c>
      <c r="C58" t="str">
        <f>'Exp 2.1 - DBD_V_sweep'!C20</f>
        <v>PULSE</v>
      </c>
      <c r="D58">
        <f>'Exp 2.1 - DBD_V_sweep'!D20</f>
        <v>3</v>
      </c>
      <c r="E58">
        <f>'Exp 2.1 - DBD_V_sweep'!E20</f>
        <v>5</v>
      </c>
      <c r="F58">
        <f>'Exp 2.1 - DBD_V_sweep'!G20</f>
        <v>10</v>
      </c>
      <c r="G58">
        <f>'Exp 2.1 - DBD_V_sweep'!H20</f>
        <v>15</v>
      </c>
      <c r="H58">
        <f>'Exp 2.1 - DBD_V_sweep'!I20</f>
        <v>0</v>
      </c>
      <c r="I58">
        <f>'Exp 2.1 - DBD_V_sweep'!L20</f>
        <v>0.1</v>
      </c>
      <c r="J58">
        <f>'Exp 2.1 - DBD_V_sweep'!M20</f>
        <v>1.5</v>
      </c>
      <c r="K58">
        <f>'Exp 2.1 - DBD_V_sweep'!N20</f>
        <v>4.67</v>
      </c>
      <c r="L58">
        <f>'Exp 2.1 - DBD_V_sweep'!O20</f>
        <v>0.53100000000000003</v>
      </c>
      <c r="M58">
        <f>'Exp 2.1 - DBD_V_sweep'!P20</f>
        <v>0.22900000000000001</v>
      </c>
      <c r="N58">
        <f>'Exp 2.1 - DBD_V_sweep'!S20</f>
        <v>0.12159900000000001</v>
      </c>
      <c r="O58">
        <f>'Exp 2.1 - DBD_V_sweep'!U20</f>
        <v>0.3665012267242973</v>
      </c>
      <c r="P58">
        <f>'Exp 2.1 - DBD_V_sweep'!V20</f>
        <v>4.4634746554406662E-2</v>
      </c>
      <c r="Q58">
        <f>'Exp 2.1 - DBD_V_sweep'!X20</f>
        <v>0</v>
      </c>
      <c r="R58">
        <f t="shared" si="2"/>
        <v>2.9756497702937774</v>
      </c>
      <c r="S58" t="str">
        <f>'Exp 2.1 - DBD_V_sweep'!AA20</f>
        <v/>
      </c>
      <c r="T58">
        <f>'Exp 2.1 - DBD_V_sweep'!AM20</f>
        <v>0</v>
      </c>
      <c r="U58">
        <f>'Exp 2.1 - DBD_V_sweep'!AO20</f>
        <v>0</v>
      </c>
      <c r="V58">
        <f>IF($L58="","",$L58*Equipment!$B$16/100)</f>
        <v>1.593E-2</v>
      </c>
      <c r="W58">
        <f>IF($P58="","",$P58*Equipment!$B$19/100)</f>
        <v>2.6780847932643998E-3</v>
      </c>
      <c r="X58" t="str">
        <f t="shared" si="3"/>
        <v>ok</v>
      </c>
      <c r="Y58">
        <f>'Exp 2.1 - DBD_V_sweep'!AR20</f>
        <v>0</v>
      </c>
    </row>
    <row r="59" spans="1:25" x14ac:dyDescent="0.3">
      <c r="A59" t="s">
        <v>17</v>
      </c>
      <c r="B59" t="str">
        <f>'Exp 2.1 - DBD_V_sweep'!A21</f>
        <v>BLOCK 2</v>
      </c>
      <c r="C59" t="str">
        <f>'Exp 2.1 - DBD_V_sweep'!C21</f>
        <v>PULSE</v>
      </c>
      <c r="D59">
        <f>'Exp 2.1 - DBD_V_sweep'!D21</f>
        <v>3</v>
      </c>
      <c r="E59">
        <f>'Exp 2.1 - DBD_V_sweep'!E21</f>
        <v>5</v>
      </c>
      <c r="F59">
        <f>'Exp 2.1 - DBD_V_sweep'!G21</f>
        <v>10</v>
      </c>
      <c r="G59">
        <f>'Exp 2.1 - DBD_V_sweep'!H21</f>
        <v>20</v>
      </c>
      <c r="H59">
        <f>'Exp 2.1 - DBD_V_sweep'!I21</f>
        <v>0</v>
      </c>
      <c r="I59">
        <f>'Exp 2.1 - DBD_V_sweep'!L21</f>
        <v>0.1</v>
      </c>
      <c r="J59">
        <f>'Exp 2.1 - DBD_V_sweep'!M21</f>
        <v>2</v>
      </c>
      <c r="K59">
        <f>'Exp 2.1 - DBD_V_sweep'!N21</f>
        <v>4.75</v>
      </c>
      <c r="L59">
        <f>'Exp 2.1 - DBD_V_sweep'!O21</f>
        <v>0.53900000000000003</v>
      </c>
      <c r="M59">
        <f>'Exp 2.1 - DBD_V_sweep'!P21</f>
        <v>0.23799999999999999</v>
      </c>
      <c r="N59">
        <f>'Exp 2.1 - DBD_V_sweep'!S21</f>
        <v>0.12828200000000001</v>
      </c>
      <c r="O59">
        <f>'Exp 2.1 - DBD_V_sweep'!U21</f>
        <v>0.3665012267242973</v>
      </c>
      <c r="P59">
        <f>'Exp 2.1 - DBD_V_sweep'!V21</f>
        <v>4.7087842478082842E-2</v>
      </c>
      <c r="Q59">
        <f>'Exp 2.1 - DBD_V_sweep'!X21</f>
        <v>0</v>
      </c>
      <c r="R59">
        <f t="shared" si="2"/>
        <v>2.3543921239041419</v>
      </c>
      <c r="S59" t="str">
        <f>'Exp 2.1 - DBD_V_sweep'!AA21</f>
        <v/>
      </c>
      <c r="T59">
        <f>'Exp 2.1 - DBD_V_sweep'!AM21</f>
        <v>0</v>
      </c>
      <c r="U59">
        <f>'Exp 2.1 - DBD_V_sweep'!AO21</f>
        <v>0</v>
      </c>
      <c r="V59">
        <f>IF($L59="","",$L59*Equipment!$B$16/100)</f>
        <v>1.617E-2</v>
      </c>
      <c r="W59">
        <f>IF($P59="","",$P59*Equipment!$B$19/100)</f>
        <v>2.8252705486849707E-3</v>
      </c>
      <c r="X59" t="str">
        <f t="shared" si="3"/>
        <v>ok</v>
      </c>
      <c r="Y59">
        <f>'Exp 2.1 - DBD_V_sweep'!AR21</f>
        <v>0</v>
      </c>
    </row>
    <row r="60" spans="1:25" x14ac:dyDescent="0.3">
      <c r="A60" t="s">
        <v>17</v>
      </c>
      <c r="B60" t="str">
        <f>'Exp 2.1 - DBD_V_sweep'!A23</f>
        <v>BLOCK 3</v>
      </c>
      <c r="C60" t="str">
        <f>'Exp 2.1 - DBD_V_sweep'!C23</f>
        <v>SQUARE</v>
      </c>
      <c r="D60">
        <f>'Exp 2.1 - DBD_V_sweep'!D23</f>
        <v>3</v>
      </c>
      <c r="E60">
        <f>'Exp 2.1 - DBD_V_sweep'!E23</f>
        <v>5</v>
      </c>
      <c r="F60">
        <f>'Exp 2.1 - DBD_V_sweep'!G23</f>
        <v>50</v>
      </c>
      <c r="G60">
        <f>'Exp 2.1 - DBD_V_sweep'!H23</f>
        <v>1</v>
      </c>
      <c r="H60">
        <f>'Exp 2.1 - DBD_V_sweep'!I23</f>
        <v>0</v>
      </c>
      <c r="I60">
        <f>'Exp 2.1 - DBD_V_sweep'!L23</f>
        <v>0.09</v>
      </c>
      <c r="J60">
        <f>'Exp 2.1 - DBD_V_sweep'!M23</f>
        <v>0.09</v>
      </c>
      <c r="K60">
        <f>'Exp 2.1 - DBD_V_sweep'!N23</f>
        <v>1.77</v>
      </c>
      <c r="L60">
        <f>'Exp 2.1 - DBD_V_sweep'!O23</f>
        <v>0.624</v>
      </c>
      <c r="M60">
        <f>'Exp 2.1 - DBD_V_sweep'!P23</f>
        <v>0.219</v>
      </c>
      <c r="N60">
        <f>'Exp 2.1 - DBD_V_sweep'!S23</f>
        <v>0.136656</v>
      </c>
      <c r="O60">
        <f>'Exp 2.1 - DBD_V_sweep'!U23</f>
        <v>0.3939419095909511</v>
      </c>
      <c r="P60">
        <f>'Exp 2.1 - DBD_V_sweep'!V23</f>
        <v>5.3908755418093077E-2</v>
      </c>
      <c r="Q60">
        <f>'Exp 2.1 - DBD_V_sweep'!X23</f>
        <v>0</v>
      </c>
      <c r="R60">
        <f t="shared" si="2"/>
        <v>59.898617131214529</v>
      </c>
      <c r="S60">
        <f>'Exp 2.1 - DBD_V_sweep'!AA23</f>
        <v>0.18427253168506441</v>
      </c>
      <c r="T60">
        <f>'Exp 2.1 - DBD_V_sweep'!AM23</f>
        <v>24</v>
      </c>
      <c r="U60">
        <f>'Exp 2.1 - DBD_V_sweep'!AO23</f>
        <v>0</v>
      </c>
      <c r="V60">
        <f>IF($L60="","",$L60*Equipment!$B$16/100)</f>
        <v>1.8720000000000001E-2</v>
      </c>
      <c r="W60">
        <f>IF($P60="","",$P60*Equipment!$B$19/100)</f>
        <v>3.2345253250855841E-3</v>
      </c>
      <c r="X60" t="str">
        <f t="shared" si="3"/>
        <v>ok</v>
      </c>
      <c r="Y60">
        <f>'Exp 2.1 - DBD_V_sweep'!AR23</f>
        <v>0</v>
      </c>
    </row>
    <row r="61" spans="1:25" x14ac:dyDescent="0.3">
      <c r="A61" t="s">
        <v>17</v>
      </c>
      <c r="B61" t="str">
        <f>'Exp 2.1 - DBD_V_sweep'!A24</f>
        <v>BLOCK 3</v>
      </c>
      <c r="C61" t="str">
        <f>'Exp 2.1 - DBD_V_sweep'!C24</f>
        <v>SQUARE</v>
      </c>
      <c r="D61">
        <f>'Exp 2.1 - DBD_V_sweep'!D24</f>
        <v>3</v>
      </c>
      <c r="E61">
        <f>'Exp 2.1 - DBD_V_sweep'!E24</f>
        <v>5</v>
      </c>
      <c r="F61">
        <f>'Exp 2.1 - DBD_V_sweep'!G24</f>
        <v>50</v>
      </c>
      <c r="G61">
        <f>'Exp 2.1 - DBD_V_sweep'!H24</f>
        <v>2</v>
      </c>
      <c r="H61">
        <f>'Exp 2.1 - DBD_V_sweep'!I24</f>
        <v>0</v>
      </c>
      <c r="I61">
        <f>'Exp 2.1 - DBD_V_sweep'!L24</f>
        <v>0.1</v>
      </c>
      <c r="J61">
        <f>'Exp 2.1 - DBD_V_sweep'!M24</f>
        <v>0.2</v>
      </c>
      <c r="K61">
        <f>'Exp 2.1 - DBD_V_sweep'!N24</f>
        <v>3.24</v>
      </c>
      <c r="L61">
        <f>'Exp 2.1 - DBD_V_sweep'!O24</f>
        <v>1.1659999999999999</v>
      </c>
      <c r="M61">
        <f>'Exp 2.1 - DBD_V_sweep'!P24</f>
        <v>0.34100000000000003</v>
      </c>
      <c r="N61">
        <f>'Exp 2.1 - DBD_V_sweep'!S24</f>
        <v>0.39760600000000001</v>
      </c>
      <c r="O61">
        <f>'Exp 2.1 - DBD_V_sweep'!U24</f>
        <v>0.37945615952900513</v>
      </c>
      <c r="P61">
        <f>'Exp 2.1 - DBD_V_sweep'!V24</f>
        <v>0.15109437758836136</v>
      </c>
      <c r="Q61">
        <f>'Exp 2.1 - DBD_V_sweep'!X24</f>
        <v>0</v>
      </c>
      <c r="R61">
        <f t="shared" si="2"/>
        <v>75.54718879418067</v>
      </c>
      <c r="S61">
        <f>'Exp 2.1 - DBD_V_sweep'!AA24</f>
        <v>9.715450033821478E-2</v>
      </c>
      <c r="T61">
        <f>'Exp 2.1 - DBD_V_sweep'!AM24</f>
        <v>24</v>
      </c>
      <c r="U61">
        <f>'Exp 2.1 - DBD_V_sweep'!AO24</f>
        <v>0</v>
      </c>
      <c r="V61">
        <f>IF($L61="","",$L61*Equipment!$B$16/100)</f>
        <v>3.4979999999999997E-2</v>
      </c>
      <c r="W61">
        <f>IF($P61="","",$P61*Equipment!$B$19/100)</f>
        <v>9.0656626553016813E-3</v>
      </c>
      <c r="X61" t="str">
        <f t="shared" si="3"/>
        <v>ok</v>
      </c>
      <c r="Y61">
        <f>'Exp 2.1 - DBD_V_sweep'!AR24</f>
        <v>0</v>
      </c>
    </row>
    <row r="62" spans="1:25" x14ac:dyDescent="0.3">
      <c r="A62" t="s">
        <v>17</v>
      </c>
      <c r="B62" t="str">
        <f>'Exp 2.1 - DBD_V_sweep'!A25</f>
        <v>BLOCK 3</v>
      </c>
      <c r="C62" t="str">
        <f>'Exp 2.1 - DBD_V_sweep'!C25</f>
        <v>SQUARE</v>
      </c>
      <c r="D62">
        <f>'Exp 2.1 - DBD_V_sweep'!D25</f>
        <v>3</v>
      </c>
      <c r="E62">
        <f>'Exp 2.1 - DBD_V_sweep'!E25</f>
        <v>5</v>
      </c>
      <c r="F62">
        <f>'Exp 2.1 - DBD_V_sweep'!G25</f>
        <v>50</v>
      </c>
      <c r="G62">
        <f>'Exp 2.1 - DBD_V_sweep'!H25</f>
        <v>3</v>
      </c>
      <c r="H62">
        <f>'Exp 2.1 - DBD_V_sweep'!I25</f>
        <v>0</v>
      </c>
      <c r="I62">
        <f>'Exp 2.1 - DBD_V_sweep'!L25</f>
        <v>0.13</v>
      </c>
      <c r="J62">
        <f>'Exp 2.1 - DBD_V_sweep'!M25</f>
        <v>0.39</v>
      </c>
      <c r="K62">
        <f>'Exp 2.1 - DBD_V_sweep'!N25</f>
        <v>3.86</v>
      </c>
      <c r="L62">
        <f>'Exp 2.1 - DBD_V_sweep'!O25</f>
        <v>1.4</v>
      </c>
      <c r="M62">
        <f>'Exp 2.1 - DBD_V_sweep'!P25</f>
        <v>0.46899999999999997</v>
      </c>
      <c r="N62">
        <f>'Exp 2.1 - DBD_V_sweep'!S25</f>
        <v>0.65659999999999996</v>
      </c>
      <c r="O62">
        <f>'Exp 2.1 - DBD_V_sweep'!U25</f>
        <v>0.4273578633871925</v>
      </c>
      <c r="P62">
        <f>'Exp 2.1 - DBD_V_sweep'!V25</f>
        <v>0.28094295737535063</v>
      </c>
      <c r="Q62">
        <f>'Exp 2.1 - DBD_V_sweep'!X25</f>
        <v>0</v>
      </c>
      <c r="R62">
        <f t="shared" si="2"/>
        <v>72.036655737269399</v>
      </c>
      <c r="S62">
        <f>'Exp 2.1 - DBD_V_sweep'!AA25</f>
        <v>8.3583543485279244E-2</v>
      </c>
      <c r="T62">
        <f>'Exp 2.1 - DBD_V_sweep'!AM25</f>
        <v>25</v>
      </c>
      <c r="U62">
        <f>'Exp 2.1 - DBD_V_sweep'!AO25</f>
        <v>0</v>
      </c>
      <c r="V62">
        <f>IF($L62="","",$L62*Equipment!$B$16/100)</f>
        <v>4.1999999999999996E-2</v>
      </c>
      <c r="W62">
        <f>IF($P62="","",$P62*Equipment!$B$19/100)</f>
        <v>1.6856577442521038E-2</v>
      </c>
      <c r="X62" t="str">
        <f t="shared" si="3"/>
        <v>ok</v>
      </c>
      <c r="Y62">
        <f>'Exp 2.1 - DBD_V_sweep'!AR25</f>
        <v>0</v>
      </c>
    </row>
    <row r="63" spans="1:25" x14ac:dyDescent="0.3">
      <c r="A63" t="s">
        <v>17</v>
      </c>
      <c r="B63" t="str">
        <f>'Exp 2.1 - DBD_V_sweep'!A26</f>
        <v>BLOCK 3</v>
      </c>
      <c r="C63" t="str">
        <f>'Exp 2.1 - DBD_V_sweep'!C26</f>
        <v>SQUARE</v>
      </c>
      <c r="D63">
        <f>'Exp 2.1 - DBD_V_sweep'!D26</f>
        <v>3</v>
      </c>
      <c r="E63">
        <f>'Exp 2.1 - DBD_V_sweep'!E26</f>
        <v>5</v>
      </c>
      <c r="F63">
        <f>'Exp 2.1 - DBD_V_sweep'!G26</f>
        <v>50</v>
      </c>
      <c r="G63">
        <f>'Exp 2.1 - DBD_V_sweep'!H26</f>
        <v>4</v>
      </c>
      <c r="H63">
        <f>'Exp 2.1 - DBD_V_sweep'!I26</f>
        <v>0</v>
      </c>
      <c r="I63">
        <f>'Exp 2.1 - DBD_V_sweep'!L26</f>
        <v>0.16</v>
      </c>
      <c r="J63">
        <f>'Exp 2.1 - DBD_V_sweep'!M26</f>
        <v>0.64</v>
      </c>
      <c r="K63">
        <f>'Exp 2.1 - DBD_V_sweep'!N26</f>
        <v>4.01</v>
      </c>
      <c r="L63">
        <f>'Exp 2.1 - DBD_V_sweep'!O26</f>
        <v>1.45</v>
      </c>
      <c r="M63">
        <f>'Exp 2.1 - DBD_V_sweep'!P26</f>
        <v>0.51600000000000001</v>
      </c>
      <c r="N63">
        <f>'Exp 2.1 - DBD_V_sweep'!S26</f>
        <v>0.74819999999999998</v>
      </c>
      <c r="O63">
        <f>'Exp 2.1 - DBD_V_sweep'!U26</f>
        <v>0.41310442982454193</v>
      </c>
      <c r="P63">
        <f>'Exp 2.1 - DBD_V_sweep'!V26</f>
        <v>0.30948017449300402</v>
      </c>
      <c r="Q63">
        <f>'Exp 2.1 - DBD_V_sweep'!X26</f>
        <v>0</v>
      </c>
      <c r="R63">
        <f t="shared" si="2"/>
        <v>48.356277264531876</v>
      </c>
      <c r="S63">
        <f>'Exp 2.1 - DBD_V_sweep'!AA26</f>
        <v>8.400811866939982E-2</v>
      </c>
      <c r="T63">
        <f>'Exp 2.1 - DBD_V_sweep'!AM26</f>
        <v>26</v>
      </c>
      <c r="U63">
        <f>'Exp 2.1 - DBD_V_sweep'!AO26</f>
        <v>1</v>
      </c>
      <c r="V63">
        <f>IF($L63="","",$L63*Equipment!$B$16/100)</f>
        <v>4.3499999999999997E-2</v>
      </c>
      <c r="W63">
        <f>IF($P63="","",$P63*Equipment!$B$19/100)</f>
        <v>1.8568810469580241E-2</v>
      </c>
      <c r="X63" t="str">
        <f t="shared" si="3"/>
        <v>ok</v>
      </c>
      <c r="Y63">
        <f>'Exp 2.1 - DBD_V_sweep'!AR26</f>
        <v>0</v>
      </c>
    </row>
    <row r="64" spans="1:25" x14ac:dyDescent="0.3">
      <c r="A64" t="s">
        <v>17</v>
      </c>
      <c r="B64" t="str">
        <f>'Exp 2.1 - DBD_V_sweep'!A27</f>
        <v>BLOCK 3</v>
      </c>
      <c r="C64" t="str">
        <f>'Exp 2.1 - DBD_V_sweep'!C27</f>
        <v>SQUARE</v>
      </c>
      <c r="D64">
        <f>'Exp 2.1 - DBD_V_sweep'!D27</f>
        <v>3</v>
      </c>
      <c r="E64">
        <f>'Exp 2.1 - DBD_V_sweep'!E27</f>
        <v>5</v>
      </c>
      <c r="F64">
        <f>'Exp 2.1 - DBD_V_sweep'!G27</f>
        <v>50</v>
      </c>
      <c r="G64">
        <f>'Exp 2.1 - DBD_V_sweep'!H27</f>
        <v>5</v>
      </c>
      <c r="H64">
        <f>'Exp 2.1 - DBD_V_sweep'!I27</f>
        <v>0</v>
      </c>
      <c r="I64">
        <f>'Exp 2.1 - DBD_V_sweep'!L27</f>
        <v>0.21</v>
      </c>
      <c r="J64">
        <f>'Exp 2.1 - DBD_V_sweep'!M27</f>
        <v>1.05</v>
      </c>
      <c r="K64">
        <f>'Exp 2.1 - DBD_V_sweep'!N27</f>
        <v>4.13</v>
      </c>
      <c r="L64">
        <f>'Exp 2.1 - DBD_V_sweep'!O27</f>
        <v>1.48</v>
      </c>
      <c r="M64">
        <f>'Exp 2.1 - DBD_V_sweep'!P27</f>
        <v>0.55800000000000005</v>
      </c>
      <c r="N64">
        <f>'Exp 2.1 - DBD_V_sweep'!S27</f>
        <v>0.82584000000000002</v>
      </c>
      <c r="O64">
        <f>'Exp 2.1 - DBD_V_sweep'!U27</f>
        <v>0.39073112848927372</v>
      </c>
      <c r="P64">
        <f>'Exp 2.1 - DBD_V_sweep'!V27</f>
        <v>0.32313199490338668</v>
      </c>
      <c r="Q64">
        <f>'Exp 2.1 - DBD_V_sweep'!X27</f>
        <v>0</v>
      </c>
      <c r="R64">
        <f t="shared" si="2"/>
        <v>30.774475705084441</v>
      </c>
      <c r="S64">
        <f>'Exp 2.1 - DBD_V_sweep'!AA27</f>
        <v>8.3921379232951496E-2</v>
      </c>
      <c r="T64">
        <f>'Exp 2.1 - DBD_V_sweep'!AM27</f>
        <v>27</v>
      </c>
      <c r="U64">
        <f>'Exp 2.1 - DBD_V_sweep'!AO27</f>
        <v>1</v>
      </c>
      <c r="V64">
        <f>IF($L64="","",$L64*Equipment!$B$16/100)</f>
        <v>4.4399999999999995E-2</v>
      </c>
      <c r="W64">
        <f>IF($P64="","",$P64*Equipment!$B$19/100)</f>
        <v>1.9387919694203202E-2</v>
      </c>
      <c r="X64" t="str">
        <f t="shared" si="3"/>
        <v>ok</v>
      </c>
      <c r="Y64" t="str">
        <f>'Exp 2.1 - DBD_V_sweep'!AR27</f>
        <v>noticeable current peak</v>
      </c>
    </row>
    <row r="65" spans="1:25" x14ac:dyDescent="0.3">
      <c r="A65" t="s">
        <v>17</v>
      </c>
      <c r="B65" t="str">
        <f>'Exp 2.1 - DBD_V_sweep'!A28</f>
        <v>BLOCK 3</v>
      </c>
      <c r="C65" t="str">
        <f>'Exp 2.1 - DBD_V_sweep'!C28</f>
        <v>SQUARE</v>
      </c>
      <c r="D65">
        <f>'Exp 2.1 - DBD_V_sweep'!D28</f>
        <v>3</v>
      </c>
      <c r="E65">
        <f>'Exp 2.1 - DBD_V_sweep'!E28</f>
        <v>5</v>
      </c>
      <c r="F65">
        <f>'Exp 2.1 - DBD_V_sweep'!G28</f>
        <v>50</v>
      </c>
      <c r="G65">
        <f>'Exp 2.1 - DBD_V_sweep'!H28</f>
        <v>6</v>
      </c>
      <c r="H65">
        <f>'Exp 2.1 - DBD_V_sweep'!I28</f>
        <v>0</v>
      </c>
      <c r="I65">
        <f>'Exp 2.1 - DBD_V_sweep'!L28</f>
        <v>0.26</v>
      </c>
      <c r="J65">
        <f>'Exp 2.1 - DBD_V_sweep'!M28</f>
        <v>1.56</v>
      </c>
      <c r="K65">
        <f>'Exp 2.1 - DBD_V_sweep'!N28</f>
        <v>4.21</v>
      </c>
      <c r="L65">
        <f>'Exp 2.1 - DBD_V_sweep'!O28</f>
        <v>1.51</v>
      </c>
      <c r="M65">
        <f>'Exp 2.1 - DBD_V_sweep'!P28</f>
        <v>0.60299999999999998</v>
      </c>
      <c r="N65">
        <f>'Exp 2.1 - DBD_V_sweep'!S28</f>
        <v>0.91052999999999995</v>
      </c>
      <c r="O65">
        <f>'Exp 2.1 - DBD_V_sweep'!U28</f>
        <v>0.33216113188370339</v>
      </c>
      <c r="P65">
        <f>'Exp 2.1 - DBD_V_sweep'!V28</f>
        <v>0.30297910683157164</v>
      </c>
      <c r="Q65">
        <f>'Exp 2.1 - DBD_V_sweep'!X28</f>
        <v>0</v>
      </c>
      <c r="R65">
        <f t="shared" si="2"/>
        <v>19.421737617408439</v>
      </c>
      <c r="S65">
        <f>'Exp 2.1 - DBD_V_sweep'!AA28</f>
        <v>4.7736470463591869E-2</v>
      </c>
      <c r="T65">
        <f>'Exp 2.1 - DBD_V_sweep'!AM28</f>
        <v>29</v>
      </c>
      <c r="U65">
        <f>'Exp 2.1 - DBD_V_sweep'!AO28</f>
        <v>1</v>
      </c>
      <c r="V65">
        <f>IF($L65="","",$L65*Equipment!$B$16/100)</f>
        <v>4.53E-2</v>
      </c>
      <c r="W65">
        <f>IF($P65="","",$P65*Equipment!$B$19/100)</f>
        <v>1.8178746409894298E-2</v>
      </c>
      <c r="X65" t="str">
        <f t="shared" si="3"/>
        <v>ok</v>
      </c>
      <c r="Y65">
        <f>'Exp 2.1 - DBD_V_sweep'!AR28</f>
        <v>0</v>
      </c>
    </row>
    <row r="66" spans="1:25" x14ac:dyDescent="0.3">
      <c r="A66" t="s">
        <v>17</v>
      </c>
      <c r="B66" t="str">
        <f>'Exp 2.1 - DBD_V_sweep'!A29</f>
        <v>BLOCK 3</v>
      </c>
      <c r="C66" t="str">
        <f>'Exp 2.1 - DBD_V_sweep'!C29</f>
        <v>SQUARE</v>
      </c>
      <c r="D66">
        <f>'Exp 2.1 - DBD_V_sweep'!D29</f>
        <v>3</v>
      </c>
      <c r="E66">
        <f>'Exp 2.1 - DBD_V_sweep'!E29</f>
        <v>5</v>
      </c>
      <c r="F66">
        <f>'Exp 2.1 - DBD_V_sweep'!G29</f>
        <v>50</v>
      </c>
      <c r="G66">
        <f>'Exp 2.1 - DBD_V_sweep'!H29</f>
        <v>8</v>
      </c>
      <c r="H66">
        <f>'Exp 2.1 - DBD_V_sweep'!I29</f>
        <v>0</v>
      </c>
      <c r="I66">
        <f>'Exp 2.1 - DBD_V_sweep'!L29</f>
        <v>0.31</v>
      </c>
      <c r="J66">
        <f>'Exp 2.1 - DBD_V_sweep'!M29</f>
        <v>2.48</v>
      </c>
      <c r="K66">
        <f>'Exp 2.1 - DBD_V_sweep'!N29</f>
        <v>4.3899999999999997</v>
      </c>
      <c r="L66">
        <f>'Exp 2.1 - DBD_V_sweep'!O29</f>
        <v>1.56</v>
      </c>
      <c r="M66">
        <f>'Exp 2.1 - DBD_V_sweep'!P29</f>
        <v>0.71199999999999997</v>
      </c>
      <c r="N66">
        <f>'Exp 2.1 - DBD_V_sweep'!S29</f>
        <v>1.1107199999999999</v>
      </c>
      <c r="O66">
        <f>'Exp 2.1 - DBD_V_sweep'!U29</f>
        <v>0.30901699437494745</v>
      </c>
      <c r="P66">
        <f>'Exp 2.1 - DBD_V_sweep'!V29</f>
        <v>0.34390425091869764</v>
      </c>
      <c r="Q66">
        <f>'Exp 2.1 - DBD_V_sweep'!X29</f>
        <v>0</v>
      </c>
      <c r="R66">
        <f t="shared" si="2"/>
        <v>13.867106891882969</v>
      </c>
      <c r="S66">
        <f>'Exp 2.1 - DBD_V_sweep'!AA29</f>
        <v>4.9250932443815558E-2</v>
      </c>
      <c r="T66">
        <f>'Exp 2.1 - DBD_V_sweep'!AM29</f>
        <v>38</v>
      </c>
      <c r="U66">
        <f>'Exp 2.1 - DBD_V_sweep'!AO29</f>
        <v>1</v>
      </c>
      <c r="V66">
        <f>IF($L66="","",$L66*Equipment!$B$16/100)</f>
        <v>4.6799999999999994E-2</v>
      </c>
      <c r="W66">
        <f>IF($P66="","",$P66*Equipment!$B$19/100)</f>
        <v>2.0634255055121859E-2</v>
      </c>
      <c r="X66" t="str">
        <f t="shared" si="3"/>
        <v>ok</v>
      </c>
      <c r="Y66">
        <f>'Exp 2.1 - DBD_V_sweep'!AR29</f>
        <v>0</v>
      </c>
    </row>
    <row r="67" spans="1:25" x14ac:dyDescent="0.3">
      <c r="A67" t="s">
        <v>17</v>
      </c>
      <c r="B67" t="str">
        <f>'Exp 2.1 - DBD_V_sweep'!A30</f>
        <v>BLOCK 3</v>
      </c>
      <c r="C67" t="str">
        <f>'Exp 2.1 - DBD_V_sweep'!C30</f>
        <v>SQUARE</v>
      </c>
      <c r="D67">
        <f>'Exp 2.1 - DBD_V_sweep'!D30</f>
        <v>3</v>
      </c>
      <c r="E67">
        <f>'Exp 2.1 - DBD_V_sweep'!E30</f>
        <v>5</v>
      </c>
      <c r="F67">
        <f>'Exp 2.1 - DBD_V_sweep'!G30</f>
        <v>50</v>
      </c>
      <c r="G67">
        <f>'Exp 2.1 - DBD_V_sweep'!H30</f>
        <v>9</v>
      </c>
      <c r="H67">
        <f>'Exp 2.1 - DBD_V_sweep'!I30</f>
        <v>0</v>
      </c>
      <c r="I67">
        <f>'Exp 2.1 - DBD_V_sweep'!L30</f>
        <v>2.2000000000000002</v>
      </c>
      <c r="J67">
        <f>'Exp 2.1 - DBD_V_sweep'!M30</f>
        <v>19.8</v>
      </c>
      <c r="K67">
        <f>'Exp 2.1 - DBD_V_sweep'!N30</f>
        <v>9.18</v>
      </c>
      <c r="L67">
        <f>'Exp 2.1 - DBD_V_sweep'!O30</f>
        <v>3.11</v>
      </c>
      <c r="M67">
        <f>'Exp 2.1 - DBD_V_sweep'!P30</f>
        <v>4.57</v>
      </c>
      <c r="N67">
        <f>'Exp 2.1 - DBD_V_sweep'!S30</f>
        <v>14.2127</v>
      </c>
      <c r="O67">
        <f>'Exp 2.1 - DBD_V_sweep'!U30</f>
        <v>0.26723837607825696</v>
      </c>
      <c r="P67">
        <f>'Exp 2.1 - DBD_V_sweep'!V30</f>
        <v>3.8072060553012843</v>
      </c>
      <c r="Q67">
        <f>'Exp 2.1 - DBD_V_sweep'!X30</f>
        <v>0</v>
      </c>
      <c r="R67">
        <f t="shared" ref="R67:R98" si="4">IFERROR(IF(OR($J67="",$P67="",$J67=0),"",$P67/$J67*100),"")</f>
        <v>19.228313410612547</v>
      </c>
      <c r="S67">
        <f>'Exp 2.1 - DBD_V_sweep'!AA30</f>
        <v>0.21031413897575299</v>
      </c>
      <c r="T67">
        <f>'Exp 2.1 - DBD_V_sweep'!AM30</f>
        <v>107</v>
      </c>
      <c r="U67">
        <f>'Exp 2.1 - DBD_V_sweep'!AO30</f>
        <v>1</v>
      </c>
      <c r="V67">
        <f>IF($L67="","",$L67*Equipment!$B$16/100)</f>
        <v>9.3299999999999994E-2</v>
      </c>
      <c r="W67">
        <f>IF($P67="","",$P67*Equipment!$B$19/100)</f>
        <v>0.22843236331807706</v>
      </c>
      <c r="X67" t="str">
        <f t="shared" ref="X67:X98" si="5">IF(R67="","",IF(OR(R67&gt;105,R67&lt;-5),"⚠ suspect (déphasage/deskew probable)",IF(R67&gt;90,"△ à surveiller (&gt;90%)","ok")))</f>
        <v>ok</v>
      </c>
      <c r="Y67">
        <f>'Exp 2.1 - DBD_V_sweep'!AR30</f>
        <v>0</v>
      </c>
    </row>
    <row r="68" spans="1:25" x14ac:dyDescent="0.3">
      <c r="A68" t="s">
        <v>17</v>
      </c>
      <c r="B68" t="str">
        <f>'Exp 2.1 - DBD_V_sweep'!A31</f>
        <v>BLOCK 3</v>
      </c>
      <c r="C68" t="str">
        <f>'Exp 2.1 - DBD_V_sweep'!C31</f>
        <v>SQUARE</v>
      </c>
      <c r="D68">
        <f>'Exp 2.1 - DBD_V_sweep'!D31</f>
        <v>3</v>
      </c>
      <c r="E68">
        <f>'Exp 2.1 - DBD_V_sweep'!E31</f>
        <v>5</v>
      </c>
      <c r="F68">
        <f>'Exp 2.1 - DBD_V_sweep'!G31</f>
        <v>50</v>
      </c>
      <c r="G68">
        <f>'Exp 2.1 - DBD_V_sweep'!H31</f>
        <v>10</v>
      </c>
      <c r="H68">
        <f>'Exp 2.1 - DBD_V_sweep'!I31</f>
        <v>0</v>
      </c>
      <c r="I68">
        <f>'Exp 2.1 - DBD_V_sweep'!L31</f>
        <v>0</v>
      </c>
      <c r="J68">
        <f>'Exp 2.1 - DBD_V_sweep'!M31</f>
        <v>0</v>
      </c>
      <c r="K68">
        <f>'Exp 2.1 - DBD_V_sweep'!N31</f>
        <v>0</v>
      </c>
      <c r="L68">
        <f>'Exp 2.1 - DBD_V_sweep'!O31</f>
        <v>0</v>
      </c>
      <c r="M68">
        <f>'Exp 2.1 - DBD_V_sweep'!P31</f>
        <v>0</v>
      </c>
      <c r="N68" t="str">
        <f>'Exp 2.1 - DBD_V_sweep'!S31</f>
        <v/>
      </c>
      <c r="O68" t="str">
        <f>'Exp 2.1 - DBD_V_sweep'!U31</f>
        <v/>
      </c>
      <c r="P68" t="str">
        <f>'Exp 2.1 - DBD_V_sweep'!V31</f>
        <v/>
      </c>
      <c r="Q68">
        <f>'Exp 2.1 - DBD_V_sweep'!X31</f>
        <v>0</v>
      </c>
      <c r="R68" t="str">
        <f t="shared" si="4"/>
        <v/>
      </c>
      <c r="S68" t="str">
        <f>'Exp 2.1 - DBD_V_sweep'!AA31</f>
        <v/>
      </c>
      <c r="T68">
        <f>'Exp 2.1 - DBD_V_sweep'!AM31</f>
        <v>0</v>
      </c>
      <c r="U68">
        <f>'Exp 2.1 - DBD_V_sweep'!AO31</f>
        <v>0</v>
      </c>
      <c r="V68">
        <f>IF($L68="","",$L68*Equipment!$B$16/100)</f>
        <v>0</v>
      </c>
      <c r="W68" t="str">
        <f>IF($P68="","",$P68*Equipment!$B$19/100)</f>
        <v/>
      </c>
      <c r="X68" t="str">
        <f t="shared" si="5"/>
        <v/>
      </c>
      <c r="Y68" t="str">
        <f>'Exp 2.1 - DBD_V_sweep'!AR31</f>
        <v>3.3 A current limit reached</v>
      </c>
    </row>
    <row r="69" spans="1:25" x14ac:dyDescent="0.3">
      <c r="A69" t="s">
        <v>17</v>
      </c>
      <c r="B69" t="str">
        <f>'Exp 2.1 - DBD_V_sweep'!A33</f>
        <v>BLOCK 4</v>
      </c>
      <c r="C69" t="str">
        <f>'Exp 2.1 - DBD_V_sweep'!C33</f>
        <v>SQUARE</v>
      </c>
      <c r="D69">
        <f>'Exp 2.1 - DBD_V_sweep'!D33</f>
        <v>3</v>
      </c>
      <c r="E69">
        <f>'Exp 2.1 - DBD_V_sweep'!E33</f>
        <v>10</v>
      </c>
      <c r="F69">
        <f>'Exp 2.1 - DBD_V_sweep'!G33</f>
        <v>100</v>
      </c>
      <c r="G69">
        <f>'Exp 2.1 - DBD_V_sweep'!H33</f>
        <v>1</v>
      </c>
      <c r="H69">
        <f>'Exp 2.1 - DBD_V_sweep'!I33</f>
        <v>0.99099999999999999</v>
      </c>
      <c r="I69">
        <f>'Exp 2.1 - DBD_V_sweep'!L33</f>
        <v>0.33</v>
      </c>
      <c r="J69">
        <f>'Exp 2.1 - DBD_V_sweep'!M33</f>
        <v>0.33</v>
      </c>
      <c r="K69">
        <f>'Exp 2.1 - DBD_V_sweep'!N33</f>
        <v>1.25</v>
      </c>
      <c r="L69">
        <f>'Exp 2.1 - DBD_V_sweep'!O33</f>
        <v>0.40300000000000002</v>
      </c>
      <c r="M69">
        <f>'Exp 2.1 - DBD_V_sweep'!P33</f>
        <v>0.60399999999999998</v>
      </c>
      <c r="N69">
        <f>'Exp 2.1 - DBD_V_sweep'!S33</f>
        <v>0.24341200000000002</v>
      </c>
      <c r="O69">
        <f>'Exp 2.1 - DBD_V_sweep'!U33</f>
        <v>0.44307119082417962</v>
      </c>
      <c r="P69">
        <f>'Exp 2.1 - DBD_V_sweep'!V33</f>
        <v>0.10797181874104733</v>
      </c>
      <c r="Q69">
        <f>'Exp 2.1 - DBD_V_sweep'!X33</f>
        <v>0</v>
      </c>
      <c r="R69">
        <f t="shared" si="4"/>
        <v>32.718732951832521</v>
      </c>
      <c r="S69">
        <f>'Exp 2.1 - DBD_V_sweep'!AA33</f>
        <v>0.19741735191348231</v>
      </c>
      <c r="T69">
        <f>'Exp 2.1 - DBD_V_sweep'!AM33</f>
        <v>24</v>
      </c>
      <c r="U69">
        <f>'Exp 2.1 - DBD_V_sweep'!AO33</f>
        <v>0</v>
      </c>
      <c r="V69">
        <f>IF($L69="","",$L69*Equipment!$B$16/100)</f>
        <v>1.209E-2</v>
      </c>
      <c r="W69">
        <f>IF($P69="","",$P69*Equipment!$B$19/100)</f>
        <v>6.47830912446284E-3</v>
      </c>
      <c r="X69" t="str">
        <f t="shared" si="5"/>
        <v>ok</v>
      </c>
      <c r="Y69">
        <f>'Exp 2.1 - DBD_V_sweep'!AR33</f>
        <v>0</v>
      </c>
    </row>
    <row r="70" spans="1:25" x14ac:dyDescent="0.3">
      <c r="A70" t="s">
        <v>17</v>
      </c>
      <c r="B70" t="str">
        <f>'Exp 2.1 - DBD_V_sweep'!A34</f>
        <v>BLOCK 4</v>
      </c>
      <c r="C70" t="str">
        <f>'Exp 2.1 - DBD_V_sweep'!C34</f>
        <v>SQUARE</v>
      </c>
      <c r="D70">
        <f>'Exp 2.1 - DBD_V_sweep'!D34</f>
        <v>3</v>
      </c>
      <c r="E70">
        <f>'Exp 2.1 - DBD_V_sweep'!E34</f>
        <v>10</v>
      </c>
      <c r="F70">
        <f>'Exp 2.1 - DBD_V_sweep'!G34</f>
        <v>100</v>
      </c>
      <c r="G70">
        <f>'Exp 2.1 - DBD_V_sweep'!H34</f>
        <v>2</v>
      </c>
      <c r="H70">
        <f>'Exp 2.1 - DBD_V_sweep'!I34</f>
        <v>1.9970000000000001</v>
      </c>
      <c r="I70">
        <f>'Exp 2.1 - DBD_V_sweep'!L34</f>
        <v>0.45</v>
      </c>
      <c r="J70">
        <f>'Exp 2.1 - DBD_V_sweep'!M34</f>
        <v>0.9</v>
      </c>
      <c r="K70">
        <f>'Exp 2.1 - DBD_V_sweep'!N34</f>
        <v>1.69</v>
      </c>
      <c r="L70">
        <f>'Exp 2.1 - DBD_V_sweep'!O34</f>
        <v>0.53800000000000003</v>
      </c>
      <c r="M70">
        <f>'Exp 2.1 - DBD_V_sweep'!P34</f>
        <v>0.80800000000000005</v>
      </c>
      <c r="N70">
        <f>'Exp 2.1 - DBD_V_sweep'!S34</f>
        <v>0.43470400000000003</v>
      </c>
      <c r="O70">
        <f>'Exp 2.1 - DBD_V_sweep'!U34</f>
        <v>0.42419942274539008</v>
      </c>
      <c r="P70">
        <f>'Exp 2.1 - DBD_V_sweep'!V34</f>
        <v>0.18462720757941911</v>
      </c>
      <c r="Q70">
        <f>'Exp 2.1 - DBD_V_sweep'!X34</f>
        <v>0</v>
      </c>
      <c r="R70">
        <f t="shared" si="4"/>
        <v>20.514134175491012</v>
      </c>
      <c r="S70">
        <f>'Exp 2.1 - DBD_V_sweep'!AA34</f>
        <v>0.25062564599759102</v>
      </c>
      <c r="T70">
        <f>'Exp 2.1 - DBD_V_sweep'!AM34</f>
        <v>25</v>
      </c>
      <c r="U70">
        <f>'Exp 2.1 - DBD_V_sweep'!AO34</f>
        <v>0</v>
      </c>
      <c r="V70">
        <f>IF($L70="","",$L70*Equipment!$B$16/100)</f>
        <v>1.6140000000000002E-2</v>
      </c>
      <c r="W70">
        <f>IF($P70="","",$P70*Equipment!$B$19/100)</f>
        <v>1.1077632454765148E-2</v>
      </c>
      <c r="X70" t="str">
        <f t="shared" si="5"/>
        <v>ok</v>
      </c>
      <c r="Y70">
        <f>'Exp 2.1 - DBD_V_sweep'!AR34</f>
        <v>0</v>
      </c>
    </row>
    <row r="71" spans="1:25" x14ac:dyDescent="0.3">
      <c r="A71" t="s">
        <v>17</v>
      </c>
      <c r="B71" t="str">
        <f>'Exp 2.1 - DBD_V_sweep'!A35</f>
        <v>BLOCK 4</v>
      </c>
      <c r="C71" t="str">
        <f>'Exp 2.1 - DBD_V_sweep'!C35</f>
        <v>SQUARE</v>
      </c>
      <c r="D71">
        <f>'Exp 2.1 - DBD_V_sweep'!D35</f>
        <v>3</v>
      </c>
      <c r="E71">
        <f>'Exp 2.1 - DBD_V_sweep'!E35</f>
        <v>10</v>
      </c>
      <c r="F71">
        <f>'Exp 2.1 - DBD_V_sweep'!G35</f>
        <v>100</v>
      </c>
      <c r="G71">
        <f>'Exp 2.1 - DBD_V_sweep'!H35</f>
        <v>3</v>
      </c>
      <c r="H71">
        <f>'Exp 2.1 - DBD_V_sweep'!I35</f>
        <v>2.98</v>
      </c>
      <c r="I71">
        <f>'Exp 2.1 - DBD_V_sweep'!L35</f>
        <v>0.59</v>
      </c>
      <c r="J71">
        <f>'Exp 2.1 - DBD_V_sweep'!M35</f>
        <v>1.77</v>
      </c>
      <c r="K71">
        <f>'Exp 2.1 - DBD_V_sweep'!N35</f>
        <v>2.31</v>
      </c>
      <c r="L71">
        <f>'Exp 2.1 - DBD_V_sweep'!O35</f>
        <v>0.72</v>
      </c>
      <c r="M71">
        <f>'Exp 2.1 - DBD_V_sweep'!P35</f>
        <v>1.1120000000000001</v>
      </c>
      <c r="N71">
        <f>'Exp 2.1 - DBD_V_sweep'!S35</f>
        <v>0.80064000000000002</v>
      </c>
      <c r="O71">
        <f>'Exp 2.1 - DBD_V_sweep'!U35</f>
        <v>0.42103581336749113</v>
      </c>
      <c r="P71">
        <f>'Exp 2.1 - DBD_V_sweep'!V35</f>
        <v>0.3375163649786585</v>
      </c>
      <c r="Q71">
        <f>'Exp 2.1 - DBD_V_sweep'!X35</f>
        <v>0</v>
      </c>
      <c r="R71">
        <f t="shared" si="4"/>
        <v>19.068721185234942</v>
      </c>
      <c r="S71">
        <f>'Exp 2.1 - DBD_V_sweep'!AA35</f>
        <v>0.19399254228072299</v>
      </c>
      <c r="T71">
        <f>'Exp 2.1 - DBD_V_sweep'!AM35</f>
        <v>29</v>
      </c>
      <c r="U71">
        <f>'Exp 2.1 - DBD_V_sweep'!AO35</f>
        <v>0</v>
      </c>
      <c r="V71">
        <f>IF($L71="","",$L71*Equipment!$B$16/100)</f>
        <v>2.1600000000000001E-2</v>
      </c>
      <c r="W71">
        <f>IF($P71="","",$P71*Equipment!$B$19/100)</f>
        <v>2.025098189871951E-2</v>
      </c>
      <c r="X71" t="str">
        <f t="shared" si="5"/>
        <v>ok</v>
      </c>
      <c r="Y71">
        <f>'Exp 2.1 - DBD_V_sweep'!AR35</f>
        <v>0</v>
      </c>
    </row>
    <row r="72" spans="1:25" x14ac:dyDescent="0.3">
      <c r="A72" t="s">
        <v>17</v>
      </c>
      <c r="B72" t="str">
        <f>'Exp 2.1 - DBD_V_sweep'!A36</f>
        <v>BLOCK 4</v>
      </c>
      <c r="C72" t="str">
        <f>'Exp 2.1 - DBD_V_sweep'!C36</f>
        <v>SQUARE</v>
      </c>
      <c r="D72">
        <f>'Exp 2.1 - DBD_V_sweep'!D36</f>
        <v>3</v>
      </c>
      <c r="E72">
        <f>'Exp 2.1 - DBD_V_sweep'!E36</f>
        <v>10</v>
      </c>
      <c r="F72">
        <f>'Exp 2.1 - DBD_V_sweep'!G36</f>
        <v>100</v>
      </c>
      <c r="G72">
        <f>'Exp 2.1 - DBD_V_sweep'!H36</f>
        <v>4</v>
      </c>
      <c r="H72">
        <f>'Exp 2.1 - DBD_V_sweep'!I36</f>
        <v>3.99</v>
      </c>
      <c r="I72">
        <f>'Exp 2.1 - DBD_V_sweep'!L36</f>
        <v>1.1599999999999999</v>
      </c>
      <c r="J72">
        <f>'Exp 2.1 - DBD_V_sweep'!M36</f>
        <v>4.6399999999999997</v>
      </c>
      <c r="K72">
        <f>'Exp 2.1 - DBD_V_sweep'!N36</f>
        <v>3.71</v>
      </c>
      <c r="L72">
        <f>'Exp 2.1 - DBD_V_sweep'!O36</f>
        <v>1.2310000000000001</v>
      </c>
      <c r="M72">
        <f>'Exp 2.1 - DBD_V_sweep'!P36</f>
        <v>2.0990000000000002</v>
      </c>
      <c r="N72">
        <f>'Exp 2.1 - DBD_V_sweep'!S36</f>
        <v>2.5838690000000004</v>
      </c>
      <c r="O72">
        <f>'Exp 2.1 - DBD_V_sweep'!U36</f>
        <v>0.24699901272274299</v>
      </c>
      <c r="P72">
        <f>'Exp 2.1 - DBD_V_sweep'!V36</f>
        <v>0.63988999874694874</v>
      </c>
      <c r="Q72">
        <f>'Exp 2.1 - DBD_V_sweep'!X36</f>
        <v>0</v>
      </c>
      <c r="R72">
        <f t="shared" si="4"/>
        <v>13.790732731615277</v>
      </c>
      <c r="S72">
        <f>'Exp 2.1 - DBD_V_sweep'!AA36</f>
        <v>0.21463745615387531</v>
      </c>
      <c r="T72">
        <f>'Exp 2.1 - DBD_V_sweep'!AM36</f>
        <v>37</v>
      </c>
      <c r="U72">
        <f>'Exp 2.1 - DBD_V_sweep'!AO36</f>
        <v>1</v>
      </c>
      <c r="V72">
        <f>IF($L72="","",$L72*Equipment!$B$16/100)</f>
        <v>3.6930000000000004E-2</v>
      </c>
      <c r="W72">
        <f>IF($P72="","",$P72*Equipment!$B$19/100)</f>
        <v>3.8393399924816919E-2</v>
      </c>
      <c r="X72" t="str">
        <f t="shared" si="5"/>
        <v>ok</v>
      </c>
      <c r="Y72" t="str">
        <f>'Exp 2.1 - DBD_V_sweep'!AR36</f>
        <v>Slow current drift (increase)</v>
      </c>
    </row>
    <row r="73" spans="1:25" x14ac:dyDescent="0.3">
      <c r="A73" t="s">
        <v>17</v>
      </c>
      <c r="B73" t="str">
        <f>'Exp 2.1 - DBD_V_sweep'!A37</f>
        <v>BLOCK 4</v>
      </c>
      <c r="C73" t="str">
        <f>'Exp 2.1 - DBD_V_sweep'!C37</f>
        <v>SQUARE</v>
      </c>
      <c r="D73">
        <f>'Exp 2.1 - DBD_V_sweep'!D37</f>
        <v>3</v>
      </c>
      <c r="E73">
        <f>'Exp 2.1 - DBD_V_sweep'!E37</f>
        <v>10</v>
      </c>
      <c r="F73">
        <f>'Exp 2.1 - DBD_V_sweep'!G37</f>
        <v>100</v>
      </c>
      <c r="G73">
        <f>'Exp 2.1 - DBD_V_sweep'!H37</f>
        <v>4.5</v>
      </c>
      <c r="H73">
        <f>'Exp 2.1 - DBD_V_sweep'!I37</f>
        <v>4.516</v>
      </c>
      <c r="I73">
        <f>'Exp 2.1 - DBD_V_sweep'!L37</f>
        <v>3.16</v>
      </c>
      <c r="J73">
        <f>'Exp 2.1 - DBD_V_sweep'!M37</f>
        <v>14.22</v>
      </c>
      <c r="K73">
        <f>'Exp 2.1 - DBD_V_sweep'!N37</f>
        <v>6.24</v>
      </c>
      <c r="L73">
        <f>'Exp 2.1 - DBD_V_sweep'!O37</f>
        <v>1.9530000000000001</v>
      </c>
      <c r="M73">
        <f>'Exp 2.1 - DBD_V_sweep'!P37</f>
        <v>5.1459999999999999</v>
      </c>
      <c r="N73">
        <f>'Exp 2.1 - DBD_V_sweep'!S37</f>
        <v>10.050138</v>
      </c>
      <c r="O73">
        <f>'Exp 2.1 - DBD_V_sweep'!U37</f>
        <v>0.22835087011065588</v>
      </c>
      <c r="P73">
        <f>'Exp 2.1 - DBD_V_sweep'!V37</f>
        <v>2.3016061789854247</v>
      </c>
      <c r="Q73">
        <f>'Exp 2.1 - DBD_V_sweep'!X37</f>
        <v>0</v>
      </c>
      <c r="R73">
        <f t="shared" si="4"/>
        <v>16.185697461219583</v>
      </c>
      <c r="S73">
        <f>'Exp 2.1 - DBD_V_sweep'!AA37</f>
        <v>0.20555895062524801</v>
      </c>
      <c r="T73">
        <f>'Exp 2.1 - DBD_V_sweep'!AM37</f>
        <v>60</v>
      </c>
      <c r="U73">
        <f>'Exp 2.1 - DBD_V_sweep'!AO37</f>
        <v>1</v>
      </c>
      <c r="V73">
        <f>IF($L73="","",$L73*Equipment!$B$16/100)</f>
        <v>5.8590000000000003E-2</v>
      </c>
      <c r="W73">
        <f>IF($P73="","",$P73*Equipment!$B$19/100)</f>
        <v>0.13809637073912548</v>
      </c>
      <c r="X73" t="str">
        <f t="shared" si="5"/>
        <v>ok</v>
      </c>
      <c r="Y73" t="str">
        <f>'Exp 2.1 - DBD_V_sweep'!AR37</f>
        <v>Same, more intense</v>
      </c>
    </row>
    <row r="74" spans="1:25" x14ac:dyDescent="0.3">
      <c r="A74" t="s">
        <v>17</v>
      </c>
      <c r="B74" t="str">
        <f>'Exp 2.1 - DBD_V_sweep'!A38</f>
        <v>BLOCK 4</v>
      </c>
      <c r="C74" t="str">
        <f>'Exp 2.1 - DBD_V_sweep'!C38</f>
        <v>SQUARE</v>
      </c>
      <c r="D74">
        <f>'Exp 2.1 - DBD_V_sweep'!D38</f>
        <v>3</v>
      </c>
      <c r="E74">
        <f>'Exp 2.1 - DBD_V_sweep'!E38</f>
        <v>10</v>
      </c>
      <c r="F74">
        <f>'Exp 2.1 - DBD_V_sweep'!G38</f>
        <v>100</v>
      </c>
      <c r="G74">
        <f>'Exp 2.1 - DBD_V_sweep'!H38</f>
        <v>5</v>
      </c>
      <c r="H74">
        <f>'Exp 2.1 - DBD_V_sweep'!I38</f>
        <v>0</v>
      </c>
      <c r="I74">
        <f>'Exp 2.1 - DBD_V_sweep'!L38</f>
        <v>0</v>
      </c>
      <c r="J74">
        <f>'Exp 2.1 - DBD_V_sweep'!M38</f>
        <v>0</v>
      </c>
      <c r="K74">
        <f>'Exp 2.1 - DBD_V_sweep'!N38</f>
        <v>0</v>
      </c>
      <c r="L74">
        <f>'Exp 2.1 - DBD_V_sweep'!O38</f>
        <v>0</v>
      </c>
      <c r="M74">
        <f>'Exp 2.1 - DBD_V_sweep'!P38</f>
        <v>0</v>
      </c>
      <c r="N74" t="str">
        <f>'Exp 2.1 - DBD_V_sweep'!S38</f>
        <v/>
      </c>
      <c r="O74" t="str">
        <f>'Exp 2.1 - DBD_V_sweep'!U38</f>
        <v/>
      </c>
      <c r="P74" t="str">
        <f>'Exp 2.1 - DBD_V_sweep'!V38</f>
        <v/>
      </c>
      <c r="Q74">
        <f>'Exp 2.1 - DBD_V_sweep'!X38</f>
        <v>0</v>
      </c>
      <c r="R74" t="str">
        <f t="shared" si="4"/>
        <v/>
      </c>
      <c r="S74" t="str">
        <f>'Exp 2.1 - DBD_V_sweep'!AA38</f>
        <v/>
      </c>
      <c r="T74">
        <f>'Exp 2.1 - DBD_V_sweep'!AM38</f>
        <v>0</v>
      </c>
      <c r="U74">
        <f>'Exp 2.1 - DBD_V_sweep'!AO38</f>
        <v>0</v>
      </c>
      <c r="V74">
        <f>IF($L74="","",$L74*Equipment!$B$16/100)</f>
        <v>0</v>
      </c>
      <c r="W74" t="str">
        <f>IF($P74="","",$P74*Equipment!$B$19/100)</f>
        <v/>
      </c>
      <c r="X74" t="str">
        <f t="shared" si="5"/>
        <v/>
      </c>
      <c r="Y74" t="str">
        <f>'Exp 2.1 - DBD_V_sweep'!AR38</f>
        <v>3.3 A current limit reached</v>
      </c>
    </row>
    <row r="75" spans="1:25" x14ac:dyDescent="0.3">
      <c r="A75" t="s">
        <v>17</v>
      </c>
      <c r="B75" t="str">
        <f>'Exp 2.1 - DBD_V_sweep'!A40</f>
        <v>BLOCK 5</v>
      </c>
      <c r="C75" t="str">
        <f>'Exp 2.1 - DBD_V_sweep'!C40</f>
        <v>SQUARE</v>
      </c>
      <c r="D75">
        <f>'Exp 2.1 - DBD_V_sweep'!D40</f>
        <v>3</v>
      </c>
      <c r="E75">
        <f>'Exp 2.1 - DBD_V_sweep'!E40</f>
        <v>15</v>
      </c>
      <c r="F75">
        <f>'Exp 2.1 - DBD_V_sweep'!G40</f>
        <v>100</v>
      </c>
      <c r="G75">
        <f>'Exp 2.1 - DBD_V_sweep'!H40</f>
        <v>1</v>
      </c>
      <c r="H75">
        <f>'Exp 2.1 - DBD_V_sweep'!I40</f>
        <v>0.99399999999999999</v>
      </c>
      <c r="I75">
        <f>'Exp 2.1 - DBD_V_sweep'!L40</f>
        <v>0.32</v>
      </c>
      <c r="J75">
        <f>'Exp 2.1 - DBD_V_sweep'!M40</f>
        <v>0.32</v>
      </c>
      <c r="K75">
        <f>'Exp 2.1 - DBD_V_sweep'!N40</f>
        <v>0.65600000000000003</v>
      </c>
      <c r="L75">
        <f>'Exp 2.1 - DBD_V_sweep'!O40</f>
        <v>0.221</v>
      </c>
      <c r="M75">
        <f>'Exp 2.1 - DBD_V_sweep'!P40</f>
        <v>0.50900000000000001</v>
      </c>
      <c r="N75">
        <f>'Exp 2.1 - DBD_V_sweep'!S40</f>
        <v>0.11248900000000001</v>
      </c>
      <c r="O75">
        <f>'Exp 2.1 - DBD_V_sweep'!U40</f>
        <v>0.34202014332566882</v>
      </c>
      <c r="P75">
        <f>'Exp 2.1 - DBD_V_sweep'!V40</f>
        <v>3.8538966577886281E-2</v>
      </c>
      <c r="Q75">
        <f>'Exp 2.1 - DBD_V_sweep'!X40</f>
        <v>0</v>
      </c>
      <c r="R75">
        <f t="shared" si="4"/>
        <v>12.043427055589463</v>
      </c>
      <c r="S75">
        <f>'Exp 2.1 - DBD_V_sweep'!AA40</f>
        <v>0.39544102936728032</v>
      </c>
      <c r="T75">
        <f>'Exp 2.1 - DBD_V_sweep'!AM40</f>
        <v>29</v>
      </c>
      <c r="U75">
        <f>'Exp 2.1 - DBD_V_sweep'!AO40</f>
        <v>0</v>
      </c>
      <c r="V75">
        <f>IF($L75="","",$L75*Equipment!$B$16/100)</f>
        <v>6.6300000000000005E-3</v>
      </c>
      <c r="W75">
        <f>IF($P75="","",$P75*Equipment!$B$19/100)</f>
        <v>2.312337994673177E-3</v>
      </c>
      <c r="X75" t="str">
        <f t="shared" si="5"/>
        <v>ok</v>
      </c>
      <c r="Y75">
        <f>'Exp 2.1 - DBD_V_sweep'!AR40</f>
        <v>0</v>
      </c>
    </row>
    <row r="76" spans="1:25" x14ac:dyDescent="0.3">
      <c r="A76" t="s">
        <v>17</v>
      </c>
      <c r="B76" t="str">
        <f>'Exp 2.1 - DBD_V_sweep'!A41</f>
        <v>BLOCK 5</v>
      </c>
      <c r="C76" t="str">
        <f>'Exp 2.1 - DBD_V_sweep'!C41</f>
        <v>SQUARE</v>
      </c>
      <c r="D76">
        <f>'Exp 2.1 - DBD_V_sweep'!D41</f>
        <v>3</v>
      </c>
      <c r="E76">
        <f>'Exp 2.1 - DBD_V_sweep'!E41</f>
        <v>15</v>
      </c>
      <c r="F76">
        <f>'Exp 2.1 - DBD_V_sweep'!G41</f>
        <v>100</v>
      </c>
      <c r="G76">
        <f>'Exp 2.1 - DBD_V_sweep'!H41</f>
        <v>2</v>
      </c>
      <c r="H76">
        <f>'Exp 2.1 - DBD_V_sweep'!I41</f>
        <v>2</v>
      </c>
      <c r="I76">
        <f>'Exp 2.1 - DBD_V_sweep'!L41</f>
        <v>0.41</v>
      </c>
      <c r="J76">
        <f>'Exp 2.1 - DBD_V_sweep'!M41</f>
        <v>0.82</v>
      </c>
      <c r="K76">
        <f>'Exp 2.1 - DBD_V_sweep'!N41</f>
        <v>0.81</v>
      </c>
      <c r="L76">
        <f>'Exp 2.1 - DBD_V_sweep'!O41</f>
        <v>0.27400000000000002</v>
      </c>
      <c r="M76">
        <f>'Exp 2.1 - DBD_V_sweep'!P41</f>
        <v>0.66</v>
      </c>
      <c r="N76">
        <f>'Exp 2.1 - DBD_V_sweep'!S41</f>
        <v>0.18084000000000003</v>
      </c>
      <c r="O76">
        <f>'Exp 2.1 - DBD_V_sweep'!U41</f>
        <v>0.37784078681846728</v>
      </c>
      <c r="P76">
        <f>'Exp 2.1 - DBD_V_sweep'!V41</f>
        <v>6.8429159425100264E-2</v>
      </c>
      <c r="Q76">
        <f>'Exp 2.1 - DBD_V_sweep'!X41</f>
        <v>0</v>
      </c>
      <c r="R76">
        <f t="shared" si="4"/>
        <v>8.3450194420853983</v>
      </c>
      <c r="S76">
        <f>'Exp 2.1 - DBD_V_sweep'!AA41</f>
        <v>0.31432703704091836</v>
      </c>
      <c r="T76">
        <f>'Exp 2.1 - DBD_V_sweep'!AM41</f>
        <v>29</v>
      </c>
      <c r="U76">
        <f>'Exp 2.1 - DBD_V_sweep'!AO41</f>
        <v>0</v>
      </c>
      <c r="V76">
        <f>IF($L76="","",$L76*Equipment!$B$16/100)</f>
        <v>8.2199999999999999E-3</v>
      </c>
      <c r="W76">
        <f>IF($P76="","",$P76*Equipment!$B$19/100)</f>
        <v>4.1057495655060158E-3</v>
      </c>
      <c r="X76" t="str">
        <f t="shared" si="5"/>
        <v>ok</v>
      </c>
      <c r="Y76">
        <f>'Exp 2.1 - DBD_V_sweep'!AR41</f>
        <v>0</v>
      </c>
    </row>
    <row r="77" spans="1:25" x14ac:dyDescent="0.3">
      <c r="A77" t="s">
        <v>17</v>
      </c>
      <c r="B77" t="str">
        <f>'Exp 2.1 - DBD_V_sweep'!A42</f>
        <v>BLOCK 5</v>
      </c>
      <c r="C77" t="str">
        <f>'Exp 2.1 - DBD_V_sweep'!C42</f>
        <v>SQUARE</v>
      </c>
      <c r="D77">
        <f>'Exp 2.1 - DBD_V_sweep'!D42</f>
        <v>3</v>
      </c>
      <c r="E77">
        <f>'Exp 2.1 - DBD_V_sweep'!E42</f>
        <v>15</v>
      </c>
      <c r="F77">
        <f>'Exp 2.1 - DBD_V_sweep'!G42</f>
        <v>100</v>
      </c>
      <c r="G77">
        <f>'Exp 2.1 - DBD_V_sweep'!H42</f>
        <v>3</v>
      </c>
      <c r="H77">
        <f>'Exp 2.1 - DBD_V_sweep'!I42</f>
        <v>2.99</v>
      </c>
      <c r="I77">
        <f>'Exp 2.1 - DBD_V_sweep'!L42</f>
        <v>0.56000000000000005</v>
      </c>
      <c r="J77">
        <f>'Exp 2.1 - DBD_V_sweep'!M42</f>
        <v>1.6800000000000002</v>
      </c>
      <c r="K77">
        <f>'Exp 2.1 - DBD_V_sweep'!N42</f>
        <v>1.2</v>
      </c>
      <c r="L77">
        <f>'Exp 2.1 - DBD_V_sweep'!O42</f>
        <v>0.373</v>
      </c>
      <c r="M77">
        <f>'Exp 2.1 - DBD_V_sweep'!P42</f>
        <v>0.92800000000000005</v>
      </c>
      <c r="N77">
        <f>'Exp 2.1 - DBD_V_sweep'!S42</f>
        <v>0.34614400000000001</v>
      </c>
      <c r="O77">
        <f>'Exp 2.1 - DBD_V_sweep'!U42</f>
        <v>0.37622426313936563</v>
      </c>
      <c r="P77">
        <f>'Exp 2.1 - DBD_V_sweep'!V42</f>
        <v>0.13042042676517682</v>
      </c>
      <c r="Q77">
        <f>'Exp 2.1 - DBD_V_sweep'!X42</f>
        <v>0</v>
      </c>
      <c r="R77">
        <f t="shared" si="4"/>
        <v>7.7631206407843338</v>
      </c>
      <c r="S77">
        <f>'Exp 2.1 - DBD_V_sweep'!AA42</f>
        <v>0.23638180703186989</v>
      </c>
      <c r="T77">
        <f>'Exp 2.1 - DBD_V_sweep'!AM42</f>
        <v>34</v>
      </c>
      <c r="U77">
        <f>'Exp 2.1 - DBD_V_sweep'!AO42</f>
        <v>0</v>
      </c>
      <c r="V77">
        <f>IF($L77="","",$L77*Equipment!$B$16/100)</f>
        <v>1.119E-2</v>
      </c>
      <c r="W77">
        <f>IF($P77="","",$P77*Equipment!$B$19/100)</f>
        <v>7.825225605910608E-3</v>
      </c>
      <c r="X77" t="str">
        <f t="shared" si="5"/>
        <v>ok</v>
      </c>
      <c r="Y77">
        <f>'Exp 2.1 - DBD_V_sweep'!AR42</f>
        <v>0</v>
      </c>
    </row>
    <row r="78" spans="1:25" x14ac:dyDescent="0.3">
      <c r="A78" t="s">
        <v>17</v>
      </c>
      <c r="B78" t="str">
        <f>'Exp 2.1 - DBD_V_sweep'!A43</f>
        <v>BLOCK 5</v>
      </c>
      <c r="C78" t="str">
        <f>'Exp 2.1 - DBD_V_sweep'!C43</f>
        <v>SQUARE</v>
      </c>
      <c r="D78">
        <f>'Exp 2.1 - DBD_V_sweep'!D43</f>
        <v>3</v>
      </c>
      <c r="E78">
        <f>'Exp 2.1 - DBD_V_sweep'!E43</f>
        <v>15</v>
      </c>
      <c r="F78">
        <f>'Exp 2.1 - DBD_V_sweep'!G43</f>
        <v>100</v>
      </c>
      <c r="G78">
        <f>'Exp 2.1 - DBD_V_sweep'!H43</f>
        <v>4</v>
      </c>
      <c r="H78">
        <f>'Exp 2.1 - DBD_V_sweep'!I43</f>
        <v>4</v>
      </c>
      <c r="I78">
        <f>'Exp 2.1 - DBD_V_sweep'!L43</f>
        <v>0.92</v>
      </c>
      <c r="J78">
        <f>'Exp 2.1 - DBD_V_sweep'!M43</f>
        <v>3.68</v>
      </c>
      <c r="K78">
        <f>'Exp 2.1 - DBD_V_sweep'!N43</f>
        <v>1.97</v>
      </c>
      <c r="L78">
        <f>'Exp 2.1 - DBD_V_sweep'!O43</f>
        <v>0.63400000000000001</v>
      </c>
      <c r="M78">
        <f>'Exp 2.1 - DBD_V_sweep'!P43</f>
        <v>1.6</v>
      </c>
      <c r="N78">
        <f>'Exp 2.1 - DBD_V_sweep'!S43</f>
        <v>1.0144</v>
      </c>
      <c r="O78">
        <f>'Exp 2.1 - DBD_V_sweep'!U43</f>
        <v>0.31730465640509231</v>
      </c>
      <c r="P78">
        <f>'Exp 2.1 - DBD_V_sweep'!V43</f>
        <v>0.32248236322292795</v>
      </c>
      <c r="Q78">
        <f>'Exp 2.1 - DBD_V_sweep'!X43</f>
        <v>0</v>
      </c>
      <c r="R78">
        <f t="shared" si="4"/>
        <v>8.763107696275215</v>
      </c>
      <c r="S78">
        <f>'Exp 2.1 - DBD_V_sweep'!AA43</f>
        <v>0.15864308017100967</v>
      </c>
      <c r="T78">
        <f>'Exp 2.1 - DBD_V_sweep'!AM43</f>
        <v>47</v>
      </c>
      <c r="U78">
        <f>'Exp 2.1 - DBD_V_sweep'!AO43</f>
        <v>0</v>
      </c>
      <c r="V78">
        <f>IF($L78="","",$L78*Equipment!$B$16/100)</f>
        <v>1.9020000000000002E-2</v>
      </c>
      <c r="W78">
        <f>IF($P78="","",$P78*Equipment!$B$19/100)</f>
        <v>1.9348941793375679E-2</v>
      </c>
      <c r="X78" t="str">
        <f t="shared" si="5"/>
        <v>ok</v>
      </c>
      <c r="Y78">
        <f>'Exp 2.1 - DBD_V_sweep'!AR43</f>
        <v>0</v>
      </c>
    </row>
    <row r="79" spans="1:25" x14ac:dyDescent="0.3">
      <c r="A79" t="s">
        <v>17</v>
      </c>
      <c r="B79" t="str">
        <f>'Exp 2.1 - DBD_V_sweep'!A44</f>
        <v>BLOCK 5</v>
      </c>
      <c r="C79" t="str">
        <f>'Exp 2.1 - DBD_V_sweep'!C44</f>
        <v>SQUARE</v>
      </c>
      <c r="D79">
        <f>'Exp 2.1 - DBD_V_sweep'!D44</f>
        <v>3</v>
      </c>
      <c r="E79">
        <f>'Exp 2.1 - DBD_V_sweep'!E44</f>
        <v>15</v>
      </c>
      <c r="F79">
        <f>'Exp 2.1 - DBD_V_sweep'!G44</f>
        <v>100</v>
      </c>
      <c r="G79">
        <f>'Exp 2.1 - DBD_V_sweep'!H44</f>
        <v>4</v>
      </c>
      <c r="H79">
        <f>'Exp 2.1 - DBD_V_sweep'!I44</f>
        <v>4.03</v>
      </c>
      <c r="I79">
        <f>'Exp 2.1 - DBD_V_sweep'!L44</f>
        <v>2.08</v>
      </c>
      <c r="J79">
        <f>'Exp 2.1 - DBD_V_sweep'!M44</f>
        <v>8.32</v>
      </c>
      <c r="K79">
        <f>'Exp 2.1 - DBD_V_sweep'!N44</f>
        <v>3.89</v>
      </c>
      <c r="L79">
        <f>'Exp 2.1 - DBD_V_sweep'!O44</f>
        <v>1.2909999999999999</v>
      </c>
      <c r="M79">
        <f>'Exp 2.1 - DBD_V_sweep'!P44</f>
        <v>3.45</v>
      </c>
      <c r="N79">
        <f>'Exp 2.1 - DBD_V_sweep'!S44</f>
        <v>4.4539499999999999</v>
      </c>
      <c r="O79">
        <f>'Exp 2.1 - DBD_V_sweep'!U44</f>
        <v>5.2335956242943966E-2</v>
      </c>
      <c r="P79">
        <f>'Exp 2.1 - DBD_V_sweep'!V44</f>
        <v>0.23652553723642136</v>
      </c>
      <c r="Q79">
        <f>'Exp 2.1 - DBD_V_sweep'!X44</f>
        <v>0</v>
      </c>
      <c r="R79">
        <f t="shared" si="4"/>
        <v>2.8428550148608336</v>
      </c>
      <c r="S79">
        <f>'Exp 2.1 - DBD_V_sweep'!AA44</f>
        <v>0.11517929758169376</v>
      </c>
      <c r="T79">
        <f>'Exp 2.1 - DBD_V_sweep'!AM44</f>
        <v>80</v>
      </c>
      <c r="U79">
        <f>'Exp 2.1 - DBD_V_sweep'!AO44</f>
        <v>1</v>
      </c>
      <c r="V79">
        <f>IF($L79="","",$L79*Equipment!$B$16/100)</f>
        <v>3.8730000000000001E-2</v>
      </c>
      <c r="W79">
        <f>IF($P79="","",$P79*Equipment!$B$19/100)</f>
        <v>1.4191532234185282E-2</v>
      </c>
      <c r="X79" t="str">
        <f t="shared" si="5"/>
        <v>ok</v>
      </c>
      <c r="Y79">
        <f>'Exp 2.1 - DBD_V_sweep'!AR44</f>
        <v>0</v>
      </c>
    </row>
    <row r="80" spans="1:25" x14ac:dyDescent="0.3">
      <c r="A80" t="s">
        <v>17</v>
      </c>
      <c r="B80" t="str">
        <f>'Exp 2.1 - DBD_V_sweep'!A46</f>
        <v>BLOCK 6</v>
      </c>
      <c r="C80" t="str">
        <f>'Exp 2.1 - DBD_V_sweep'!C46</f>
        <v>SQUARE</v>
      </c>
      <c r="D80">
        <f>'Exp 2.1 - DBD_V_sweep'!D46</f>
        <v>1</v>
      </c>
      <c r="E80">
        <f>'Exp 2.1 - DBD_V_sweep'!E46</f>
        <v>6.5</v>
      </c>
      <c r="F80">
        <f>'Exp 2.1 - DBD_V_sweep'!G46</f>
        <v>100</v>
      </c>
      <c r="G80">
        <f>'Exp 2.1 - DBD_V_sweep'!H46</f>
        <v>1</v>
      </c>
      <c r="H80">
        <f>'Exp 2.1 - DBD_V_sweep'!I46</f>
        <v>0</v>
      </c>
      <c r="I80">
        <f>'Exp 2.1 - DBD_V_sweep'!L46</f>
        <v>0.35</v>
      </c>
      <c r="J80">
        <f>'Exp 2.1 - DBD_V_sweep'!M46</f>
        <v>0.35</v>
      </c>
      <c r="K80">
        <f>'Exp 2.1 - DBD_V_sweep'!N46</f>
        <v>3.19</v>
      </c>
      <c r="L80">
        <f>'Exp 2.1 - DBD_V_sweep'!O46</f>
        <v>1.2</v>
      </c>
      <c r="M80">
        <f>'Exp 2.1 - DBD_V_sweep'!P46</f>
        <v>9.0399999999999991</v>
      </c>
      <c r="N80">
        <f>'Exp 2.1 - DBD_V_sweep'!S46</f>
        <v>10.847999999999999</v>
      </c>
      <c r="O80">
        <f>'Exp 2.1 - DBD_V_sweep'!U46</f>
        <v>0.35020738125946743</v>
      </c>
      <c r="P80">
        <f>'Exp 2.1 - DBD_V_sweep'!V46</f>
        <v>3.8052973834537389</v>
      </c>
      <c r="Q80">
        <f>'Exp 2.1 - DBD_V_sweep'!X46</f>
        <v>0</v>
      </c>
      <c r="R80">
        <f t="shared" si="4"/>
        <v>1087.2278238439255</v>
      </c>
      <c r="S80">
        <f>'Exp 2.1 - DBD_V_sweep'!AA46</f>
        <v>0.47576611198093893</v>
      </c>
      <c r="T80">
        <f>'Exp 2.1 - DBD_V_sweep'!AM46</f>
        <v>26</v>
      </c>
      <c r="U80">
        <f>'Exp 2.1 - DBD_V_sweep'!AO46</f>
        <v>0</v>
      </c>
      <c r="V80">
        <f>IF($L80="","",$L80*Equipment!$B$16/100)</f>
        <v>3.5999999999999997E-2</v>
      </c>
      <c r="W80">
        <f>IF($P80="","",$P80*Equipment!$B$19/100)</f>
        <v>0.22831784300722432</v>
      </c>
      <c r="X80" t="str">
        <f t="shared" si="5"/>
        <v>⚠ suspect (déphasage/deskew probable)</v>
      </c>
      <c r="Y80">
        <f>'Exp 2.1 - DBD_V_sweep'!AR46</f>
        <v>0</v>
      </c>
    </row>
    <row r="81" spans="1:25" x14ac:dyDescent="0.3">
      <c r="A81" t="s">
        <v>17</v>
      </c>
      <c r="B81" t="str">
        <f>'Exp 2.1 - DBD_V_sweep'!A47</f>
        <v>BLOCK 6</v>
      </c>
      <c r="C81" t="str">
        <f>'Exp 2.1 - DBD_V_sweep'!C47</f>
        <v>SQUARE</v>
      </c>
      <c r="D81">
        <f>'Exp 2.1 - DBD_V_sweep'!D47</f>
        <v>1</v>
      </c>
      <c r="E81">
        <f>'Exp 2.1 - DBD_V_sweep'!E47</f>
        <v>6.5</v>
      </c>
      <c r="F81">
        <f>'Exp 2.1 - DBD_V_sweep'!G47</f>
        <v>100</v>
      </c>
      <c r="G81">
        <f>'Exp 2.1 - DBD_V_sweep'!H47</f>
        <v>2</v>
      </c>
      <c r="H81">
        <f>'Exp 2.1 - DBD_V_sweep'!I47</f>
        <v>0</v>
      </c>
      <c r="I81">
        <f>'Exp 2.1 - DBD_V_sweep'!L47</f>
        <v>0.47</v>
      </c>
      <c r="J81">
        <f>'Exp 2.1 - DBD_V_sweep'!M47</f>
        <v>0.94</v>
      </c>
      <c r="K81">
        <f>'Exp 2.1 - DBD_V_sweep'!N47</f>
        <v>3.39</v>
      </c>
      <c r="L81">
        <f>'Exp 2.1 - DBD_V_sweep'!O47</f>
        <v>1.29</v>
      </c>
      <c r="M81">
        <f>'Exp 2.1 - DBD_V_sweep'!P47</f>
        <v>10.9</v>
      </c>
      <c r="N81">
        <f>'Exp 2.1 - DBD_V_sweep'!S47</f>
        <v>14.061000000000002</v>
      </c>
      <c r="O81">
        <f>'Exp 2.1 - DBD_V_sweep'!U47</f>
        <v>0.33545156975025509</v>
      </c>
      <c r="P81">
        <f>'Exp 2.1 - DBD_V_sweep'!V47</f>
        <v>4.725034767939003</v>
      </c>
      <c r="Q81">
        <f>'Exp 2.1 - DBD_V_sweep'!X47</f>
        <v>0</v>
      </c>
      <c r="R81">
        <f t="shared" si="4"/>
        <v>502.66327318500038</v>
      </c>
      <c r="S81">
        <f>'Exp 2.1 - DBD_V_sweep'!AA47</f>
        <v>0.43540738479622992</v>
      </c>
      <c r="T81">
        <f>'Exp 2.1 - DBD_V_sweep'!AM47</f>
        <v>27</v>
      </c>
      <c r="U81">
        <f>'Exp 2.1 - DBD_V_sweep'!AO47</f>
        <v>0</v>
      </c>
      <c r="V81">
        <f>IF($L81="","",$L81*Equipment!$B$16/100)</f>
        <v>3.8699999999999998E-2</v>
      </c>
      <c r="W81">
        <f>IF($P81="","",$P81*Equipment!$B$19/100)</f>
        <v>0.28350208607634014</v>
      </c>
      <c r="X81" t="str">
        <f t="shared" si="5"/>
        <v>⚠ suspect (déphasage/deskew probable)</v>
      </c>
      <c r="Y81">
        <f>'Exp 2.1 - DBD_V_sweep'!AR47</f>
        <v>0</v>
      </c>
    </row>
    <row r="82" spans="1:25" x14ac:dyDescent="0.3">
      <c r="A82" t="s">
        <v>17</v>
      </c>
      <c r="B82" t="str">
        <f>'Exp 2.1 - DBD_V_sweep'!A48</f>
        <v>BLOCK 6</v>
      </c>
      <c r="C82" t="str">
        <f>'Exp 2.1 - DBD_V_sweep'!C48</f>
        <v>SQUARE</v>
      </c>
      <c r="D82">
        <f>'Exp 2.1 - DBD_V_sweep'!D48</f>
        <v>1</v>
      </c>
      <c r="E82">
        <f>'Exp 2.1 - DBD_V_sweep'!E48</f>
        <v>6.5</v>
      </c>
      <c r="F82">
        <f>'Exp 2.1 - DBD_V_sweep'!G48</f>
        <v>100</v>
      </c>
      <c r="G82">
        <f>'Exp 2.1 - DBD_V_sweep'!H48</f>
        <v>3</v>
      </c>
      <c r="H82">
        <f>'Exp 2.1 - DBD_V_sweep'!I48</f>
        <v>0</v>
      </c>
      <c r="I82">
        <f>'Exp 2.1 - DBD_V_sweep'!L48</f>
        <v>0.56000000000000005</v>
      </c>
      <c r="J82">
        <f>'Exp 2.1 - DBD_V_sweep'!M48</f>
        <v>1.6800000000000002</v>
      </c>
      <c r="K82">
        <f>'Exp 2.1 - DBD_V_sweep'!N48</f>
        <v>3.59</v>
      </c>
      <c r="L82">
        <f>'Exp 2.1 - DBD_V_sweep'!O48</f>
        <v>1.345</v>
      </c>
      <c r="M82">
        <f>'Exp 2.1 - DBD_V_sweep'!P48</f>
        <v>12.487</v>
      </c>
      <c r="N82">
        <f>'Exp 2.1 - DBD_V_sweep'!S48</f>
        <v>16.795014999999999</v>
      </c>
      <c r="O82">
        <f>'Exp 2.1 - DBD_V_sweep'!U48</f>
        <v>0.31067642963073172</v>
      </c>
      <c r="P82">
        <f>'Exp 2.1 - DBD_V_sweep'!V48</f>
        <v>5.2279701158300043</v>
      </c>
      <c r="Q82">
        <f>'Exp 2.1 - DBD_V_sweep'!X48</f>
        <v>0</v>
      </c>
      <c r="R82">
        <f t="shared" si="4"/>
        <v>311.18869737083355</v>
      </c>
      <c r="S82">
        <f>'Exp 2.1 - DBD_V_sweep'!AA48</f>
        <v>0.41501886106899882</v>
      </c>
      <c r="T82">
        <f>'Exp 2.1 - DBD_V_sweep'!AM48</f>
        <v>31</v>
      </c>
      <c r="U82">
        <f>'Exp 2.1 - DBD_V_sweep'!AO48</f>
        <v>0</v>
      </c>
      <c r="V82">
        <f>IF($L82="","",$L82*Equipment!$B$16/100)</f>
        <v>4.0350000000000004E-2</v>
      </c>
      <c r="W82">
        <f>IF($P82="","",$P82*Equipment!$B$19/100)</f>
        <v>0.31367820694980025</v>
      </c>
      <c r="X82" t="str">
        <f t="shared" si="5"/>
        <v>⚠ suspect (déphasage/deskew probable)</v>
      </c>
      <c r="Y82">
        <f>'Exp 2.1 - DBD_V_sweep'!AR48</f>
        <v>0</v>
      </c>
    </row>
    <row r="83" spans="1:25" x14ac:dyDescent="0.3">
      <c r="A83" t="s">
        <v>17</v>
      </c>
      <c r="B83" t="str">
        <f>'Exp 2.1 - DBD_V_sweep'!A49</f>
        <v>BLOCK 6</v>
      </c>
      <c r="C83" t="str">
        <f>'Exp 2.1 - DBD_V_sweep'!C49</f>
        <v>SQUARE</v>
      </c>
      <c r="D83">
        <f>'Exp 2.1 - DBD_V_sweep'!D49</f>
        <v>1</v>
      </c>
      <c r="E83">
        <f>'Exp 2.1 - DBD_V_sweep'!E49</f>
        <v>6.5</v>
      </c>
      <c r="F83">
        <f>'Exp 2.1 - DBD_V_sweep'!G49</f>
        <v>100</v>
      </c>
      <c r="G83">
        <f>'Exp 2.1 - DBD_V_sweep'!H49</f>
        <v>4</v>
      </c>
      <c r="H83">
        <f>'Exp 2.1 - DBD_V_sweep'!I49</f>
        <v>0</v>
      </c>
      <c r="I83">
        <f>'Exp 2.1 - DBD_V_sweep'!L49</f>
        <v>0.8</v>
      </c>
      <c r="J83">
        <f>'Exp 2.1 - DBD_V_sweep'!M49</f>
        <v>3.2</v>
      </c>
      <c r="K83">
        <f>'Exp 2.1 - DBD_V_sweep'!N49</f>
        <v>3.79</v>
      </c>
      <c r="L83">
        <f>'Exp 2.1 - DBD_V_sweep'!O49</f>
        <v>1.4490000000000001</v>
      </c>
      <c r="M83">
        <f>'Exp 2.1 - DBD_V_sweep'!P49</f>
        <v>15.483000000000001</v>
      </c>
      <c r="N83">
        <f>'Exp 2.1 - DBD_V_sweep'!S49</f>
        <v>22.434867000000001</v>
      </c>
      <c r="O83">
        <f>'Exp 2.1 - DBD_V_sweep'!U49</f>
        <v>0.28066670892078793</v>
      </c>
      <c r="P83">
        <f>'Exp 2.1 - DBD_V_sweep'!V49</f>
        <v>6.310760751467777</v>
      </c>
      <c r="Q83">
        <f>'Exp 2.1 - DBD_V_sweep'!X49</f>
        <v>0</v>
      </c>
      <c r="R83">
        <f t="shared" si="4"/>
        <v>197.21127348336802</v>
      </c>
      <c r="S83">
        <f>'Exp 2.1 - DBD_V_sweep'!AA49</f>
        <v>0.37979209284577076</v>
      </c>
      <c r="T83">
        <f>'Exp 2.1 - DBD_V_sweep'!AM49</f>
        <v>37</v>
      </c>
      <c r="U83">
        <f>'Exp 2.1 - DBD_V_sweep'!AO49</f>
        <v>0</v>
      </c>
      <c r="V83">
        <f>IF($L83="","",$L83*Equipment!$B$16/100)</f>
        <v>4.3470000000000002E-2</v>
      </c>
      <c r="W83">
        <f>IF($P83="","",$P83*Equipment!$B$19/100)</f>
        <v>0.37864564508806664</v>
      </c>
      <c r="X83" t="str">
        <f t="shared" si="5"/>
        <v>⚠ suspect (déphasage/deskew probable)</v>
      </c>
      <c r="Y83">
        <f>'Exp 2.1 - DBD_V_sweep'!AR49</f>
        <v>0</v>
      </c>
    </row>
    <row r="84" spans="1:25" x14ac:dyDescent="0.3">
      <c r="A84" t="s">
        <v>17</v>
      </c>
      <c r="B84" t="str">
        <f>'Exp 2.1 - DBD_V_sweep'!A50</f>
        <v>BLOCK 6</v>
      </c>
      <c r="C84" t="str">
        <f>'Exp 2.1 - DBD_V_sweep'!C50</f>
        <v>SQUARE</v>
      </c>
      <c r="D84">
        <f>'Exp 2.1 - DBD_V_sweep'!D50</f>
        <v>1</v>
      </c>
      <c r="E84">
        <f>'Exp 2.1 - DBD_V_sweep'!E50</f>
        <v>6.5</v>
      </c>
      <c r="F84">
        <f>'Exp 2.1 - DBD_V_sweep'!G50</f>
        <v>100</v>
      </c>
      <c r="G84">
        <f>'Exp 2.1 - DBD_V_sweep'!H50</f>
        <v>5</v>
      </c>
      <c r="H84">
        <f>'Exp 2.1 - DBD_V_sweep'!I50</f>
        <v>0</v>
      </c>
      <c r="I84">
        <f>'Exp 2.1 - DBD_V_sweep'!L50</f>
        <v>0</v>
      </c>
      <c r="J84">
        <f>'Exp 2.1 - DBD_V_sweep'!M50</f>
        <v>0</v>
      </c>
      <c r="K84">
        <f>'Exp 2.1 - DBD_V_sweep'!N50</f>
        <v>0</v>
      </c>
      <c r="L84">
        <f>'Exp 2.1 - DBD_V_sweep'!O50</f>
        <v>0</v>
      </c>
      <c r="M84">
        <f>'Exp 2.1 - DBD_V_sweep'!P50</f>
        <v>0</v>
      </c>
      <c r="N84" t="str">
        <f>'Exp 2.1 - DBD_V_sweep'!S50</f>
        <v/>
      </c>
      <c r="O84" t="str">
        <f>'Exp 2.1 - DBD_V_sweep'!U50</f>
        <v/>
      </c>
      <c r="P84" t="str">
        <f>'Exp 2.1 - DBD_V_sweep'!V50</f>
        <v/>
      </c>
      <c r="Q84">
        <f>'Exp 2.1 - DBD_V_sweep'!X50</f>
        <v>0</v>
      </c>
      <c r="R84" t="str">
        <f t="shared" si="4"/>
        <v/>
      </c>
      <c r="S84" t="str">
        <f>'Exp 2.1 - DBD_V_sweep'!AA50</f>
        <v/>
      </c>
      <c r="T84">
        <f>'Exp 2.1 - DBD_V_sweep'!AM50</f>
        <v>0</v>
      </c>
      <c r="U84">
        <f>'Exp 2.1 - DBD_V_sweep'!AO50</f>
        <v>0</v>
      </c>
      <c r="V84">
        <f>IF($L84="","",$L84*Equipment!$B$16/100)</f>
        <v>0</v>
      </c>
      <c r="W84" t="str">
        <f>IF($P84="","",$P84*Equipment!$B$19/100)</f>
        <v/>
      </c>
      <c r="X84" t="str">
        <f t="shared" si="5"/>
        <v/>
      </c>
      <c r="Y84">
        <f>'Exp 2.1 - DBD_V_sweep'!AR50</f>
        <v>0</v>
      </c>
    </row>
    <row r="85" spans="1:25" x14ac:dyDescent="0.3">
      <c r="A85" t="s">
        <v>17</v>
      </c>
      <c r="B85" t="str">
        <f>'Exp 2.1 - DBD_V_sweep'!A51</f>
        <v>BLOCK 6</v>
      </c>
      <c r="C85" t="str">
        <f>'Exp 2.1 - DBD_V_sweep'!C51</f>
        <v>SQUARE</v>
      </c>
      <c r="D85">
        <f>'Exp 2.1 - DBD_V_sweep'!D51</f>
        <v>1</v>
      </c>
      <c r="E85">
        <f>'Exp 2.1 - DBD_V_sweep'!E51</f>
        <v>6.5</v>
      </c>
      <c r="F85">
        <f>'Exp 2.1 - DBD_V_sweep'!G51</f>
        <v>100</v>
      </c>
      <c r="G85">
        <f>'Exp 2.1 - DBD_V_sweep'!H51</f>
        <v>6</v>
      </c>
      <c r="H85">
        <f>'Exp 2.1 - DBD_V_sweep'!I51</f>
        <v>0</v>
      </c>
      <c r="I85">
        <f>'Exp 2.1 - DBD_V_sweep'!L51</f>
        <v>0</v>
      </c>
      <c r="J85">
        <f>'Exp 2.1 - DBD_V_sweep'!M51</f>
        <v>0</v>
      </c>
      <c r="K85">
        <f>'Exp 2.1 - DBD_V_sweep'!N51</f>
        <v>0</v>
      </c>
      <c r="L85">
        <f>'Exp 2.1 - DBD_V_sweep'!O51</f>
        <v>0</v>
      </c>
      <c r="M85">
        <f>'Exp 2.1 - DBD_V_sweep'!P51</f>
        <v>0</v>
      </c>
      <c r="N85" t="str">
        <f>'Exp 2.1 - DBD_V_sweep'!S51</f>
        <v/>
      </c>
      <c r="O85" t="str">
        <f>'Exp 2.1 - DBD_V_sweep'!U51</f>
        <v/>
      </c>
      <c r="P85" t="str">
        <f>'Exp 2.1 - DBD_V_sweep'!V51</f>
        <v/>
      </c>
      <c r="Q85">
        <f>'Exp 2.1 - DBD_V_sweep'!X51</f>
        <v>0</v>
      </c>
      <c r="R85" t="str">
        <f t="shared" si="4"/>
        <v/>
      </c>
      <c r="S85" t="str">
        <f>'Exp 2.1 - DBD_V_sweep'!AA51</f>
        <v/>
      </c>
      <c r="T85">
        <f>'Exp 2.1 - DBD_V_sweep'!AM51</f>
        <v>0</v>
      </c>
      <c r="U85">
        <f>'Exp 2.1 - DBD_V_sweep'!AO51</f>
        <v>0</v>
      </c>
      <c r="V85">
        <f>IF($L85="","",$L85*Equipment!$B$16/100)</f>
        <v>0</v>
      </c>
      <c r="W85" t="str">
        <f>IF($P85="","",$P85*Equipment!$B$19/100)</f>
        <v/>
      </c>
      <c r="X85" t="str">
        <f t="shared" si="5"/>
        <v/>
      </c>
      <c r="Y85">
        <f>'Exp 2.1 - DBD_V_sweep'!AR51</f>
        <v>0</v>
      </c>
    </row>
    <row r="86" spans="1:25" x14ac:dyDescent="0.3">
      <c r="A86" t="s">
        <v>17</v>
      </c>
      <c r="B86" t="str">
        <f>'Exp 2.1 - DBD_V_sweep'!A52</f>
        <v>BLOCK 6</v>
      </c>
      <c r="C86" t="str">
        <f>'Exp 2.1 - DBD_V_sweep'!C52</f>
        <v>SQUARE</v>
      </c>
      <c r="D86">
        <f>'Exp 2.1 - DBD_V_sweep'!D52</f>
        <v>1</v>
      </c>
      <c r="E86">
        <f>'Exp 2.1 - DBD_V_sweep'!E52</f>
        <v>6.5</v>
      </c>
      <c r="F86">
        <f>'Exp 2.1 - DBD_V_sweep'!G52</f>
        <v>100</v>
      </c>
      <c r="G86">
        <f>'Exp 2.1 - DBD_V_sweep'!H52</f>
        <v>7</v>
      </c>
      <c r="H86">
        <f>'Exp 2.1 - DBD_V_sweep'!I52</f>
        <v>0</v>
      </c>
      <c r="I86">
        <f>'Exp 2.1 - DBD_V_sweep'!L52</f>
        <v>0</v>
      </c>
      <c r="J86">
        <f>'Exp 2.1 - DBD_V_sweep'!M52</f>
        <v>0</v>
      </c>
      <c r="K86">
        <f>'Exp 2.1 - DBD_V_sweep'!N52</f>
        <v>0</v>
      </c>
      <c r="L86">
        <f>'Exp 2.1 - DBD_V_sweep'!O52</f>
        <v>0</v>
      </c>
      <c r="M86">
        <f>'Exp 2.1 - DBD_V_sweep'!P52</f>
        <v>0</v>
      </c>
      <c r="N86" t="str">
        <f>'Exp 2.1 - DBD_V_sweep'!S52</f>
        <v/>
      </c>
      <c r="O86" t="str">
        <f>'Exp 2.1 - DBD_V_sweep'!U52</f>
        <v/>
      </c>
      <c r="P86" t="str">
        <f>'Exp 2.1 - DBD_V_sweep'!V52</f>
        <v/>
      </c>
      <c r="Q86">
        <f>'Exp 2.1 - DBD_V_sweep'!X52</f>
        <v>0</v>
      </c>
      <c r="R86" t="str">
        <f t="shared" si="4"/>
        <v/>
      </c>
      <c r="S86" t="str">
        <f>'Exp 2.1 - DBD_V_sweep'!AA52</f>
        <v/>
      </c>
      <c r="T86">
        <f>'Exp 2.1 - DBD_V_sweep'!AM52</f>
        <v>0</v>
      </c>
      <c r="U86">
        <f>'Exp 2.1 - DBD_V_sweep'!AO52</f>
        <v>0</v>
      </c>
      <c r="V86">
        <f>IF($L86="","",$L86*Equipment!$B$16/100)</f>
        <v>0</v>
      </c>
      <c r="W86" t="str">
        <f>IF($P86="","",$P86*Equipment!$B$19/100)</f>
        <v/>
      </c>
      <c r="X86" t="str">
        <f t="shared" si="5"/>
        <v/>
      </c>
      <c r="Y86">
        <f>'Exp 2.1 - DBD_V_sweep'!AR52</f>
        <v>0</v>
      </c>
    </row>
    <row r="87" spans="1:25" x14ac:dyDescent="0.3">
      <c r="A87" t="s">
        <v>17</v>
      </c>
      <c r="B87" t="str">
        <f>'Exp 2.1 - DBD_V_sweep'!A53</f>
        <v>BLOCK 6</v>
      </c>
      <c r="C87" t="str">
        <f>'Exp 2.1 - DBD_V_sweep'!C53</f>
        <v>SQUARE</v>
      </c>
      <c r="D87">
        <f>'Exp 2.1 - DBD_V_sweep'!D53</f>
        <v>1</v>
      </c>
      <c r="E87">
        <f>'Exp 2.1 - DBD_V_sweep'!E53</f>
        <v>6.5</v>
      </c>
      <c r="F87">
        <f>'Exp 2.1 - DBD_V_sweep'!G53</f>
        <v>100</v>
      </c>
      <c r="G87">
        <f>'Exp 2.1 - DBD_V_sweep'!H53</f>
        <v>8</v>
      </c>
      <c r="H87">
        <f>'Exp 2.1 - DBD_V_sweep'!I53</f>
        <v>0</v>
      </c>
      <c r="I87">
        <f>'Exp 2.1 - DBD_V_sweep'!L53</f>
        <v>0</v>
      </c>
      <c r="J87">
        <f>'Exp 2.1 - DBD_V_sweep'!M53</f>
        <v>0</v>
      </c>
      <c r="K87">
        <f>'Exp 2.1 - DBD_V_sweep'!N53</f>
        <v>0</v>
      </c>
      <c r="L87">
        <f>'Exp 2.1 - DBD_V_sweep'!O53</f>
        <v>0</v>
      </c>
      <c r="M87">
        <f>'Exp 2.1 - DBD_V_sweep'!P53</f>
        <v>0</v>
      </c>
      <c r="N87" t="str">
        <f>'Exp 2.1 - DBD_V_sweep'!S53</f>
        <v/>
      </c>
      <c r="O87" t="str">
        <f>'Exp 2.1 - DBD_V_sweep'!U53</f>
        <v/>
      </c>
      <c r="P87" t="str">
        <f>'Exp 2.1 - DBD_V_sweep'!V53</f>
        <v/>
      </c>
      <c r="Q87">
        <f>'Exp 2.1 - DBD_V_sweep'!X53</f>
        <v>0</v>
      </c>
      <c r="R87" t="str">
        <f t="shared" si="4"/>
        <v/>
      </c>
      <c r="S87" t="str">
        <f>'Exp 2.1 - DBD_V_sweep'!AA53</f>
        <v/>
      </c>
      <c r="T87">
        <f>'Exp 2.1 - DBD_V_sweep'!AM53</f>
        <v>0</v>
      </c>
      <c r="U87">
        <f>'Exp 2.1 - DBD_V_sweep'!AO53</f>
        <v>0</v>
      </c>
      <c r="V87">
        <f>IF($L87="","",$L87*Equipment!$B$16/100)</f>
        <v>0</v>
      </c>
      <c r="W87" t="str">
        <f>IF($P87="","",$P87*Equipment!$B$19/100)</f>
        <v/>
      </c>
      <c r="X87" t="str">
        <f t="shared" si="5"/>
        <v/>
      </c>
      <c r="Y87">
        <f>'Exp 2.1 - DBD_V_sweep'!AR53</f>
        <v>0</v>
      </c>
    </row>
    <row r="88" spans="1:25" x14ac:dyDescent="0.3">
      <c r="A88" t="s">
        <v>17</v>
      </c>
      <c r="B88" t="str">
        <f>'Exp 2.1 - DBD_V_sweep'!A55</f>
        <v>BLOCK 7</v>
      </c>
      <c r="C88" t="str">
        <f>'Exp 2.1 - DBD_V_sweep'!C55</f>
        <v>PULSE</v>
      </c>
      <c r="D88">
        <f>'Exp 2.1 - DBD_V_sweep'!D55</f>
        <v>1</v>
      </c>
      <c r="E88">
        <f>'Exp 2.1 - DBD_V_sweep'!E55</f>
        <v>5</v>
      </c>
      <c r="F88">
        <f>'Exp 2.1 - DBD_V_sweep'!G55</f>
        <v>10</v>
      </c>
      <c r="G88">
        <f>'Exp 2.1 - DBD_V_sweep'!H55</f>
        <v>0</v>
      </c>
      <c r="H88">
        <f>'Exp 2.1 - DBD_V_sweep'!I55</f>
        <v>0</v>
      </c>
      <c r="I88">
        <f>'Exp 2.1 - DBD_V_sweep'!L55</f>
        <v>0</v>
      </c>
      <c r="J88" t="str">
        <f>'Exp 2.1 - DBD_V_sweep'!M55</f>
        <v/>
      </c>
      <c r="K88">
        <f>'Exp 2.1 - DBD_V_sweep'!N55</f>
        <v>0</v>
      </c>
      <c r="L88">
        <f>'Exp 2.1 - DBD_V_sweep'!O55</f>
        <v>0</v>
      </c>
      <c r="M88">
        <f>'Exp 2.1 - DBD_V_sweep'!P55</f>
        <v>0</v>
      </c>
      <c r="N88" t="str">
        <f>'Exp 2.1 - DBD_V_sweep'!S55</f>
        <v/>
      </c>
      <c r="O88" t="str">
        <f>'Exp 2.1 - DBD_V_sweep'!U55</f>
        <v/>
      </c>
      <c r="P88" t="str">
        <f>'Exp 2.1 - DBD_V_sweep'!V55</f>
        <v/>
      </c>
      <c r="Q88">
        <f>'Exp 2.1 - DBD_V_sweep'!X55</f>
        <v>0</v>
      </c>
      <c r="R88" t="str">
        <f t="shared" si="4"/>
        <v/>
      </c>
      <c r="S88" t="str">
        <f>'Exp 2.1 - DBD_V_sweep'!AA55</f>
        <v/>
      </c>
      <c r="T88">
        <f>'Exp 2.1 - DBD_V_sweep'!AM55</f>
        <v>0</v>
      </c>
      <c r="U88">
        <f>'Exp 2.1 - DBD_V_sweep'!AO55</f>
        <v>0</v>
      </c>
      <c r="V88">
        <f>IF($L88="","",$L88*Equipment!$B$16/100)</f>
        <v>0</v>
      </c>
      <c r="W88" t="str">
        <f>IF($P88="","",$P88*Equipment!$B$19/100)</f>
        <v/>
      </c>
      <c r="X88" t="str">
        <f t="shared" si="5"/>
        <v/>
      </c>
      <c r="Y88">
        <f>'Exp 2.1 - DBD_V_sweep'!AR55</f>
        <v>0</v>
      </c>
    </row>
    <row r="89" spans="1:25" x14ac:dyDescent="0.3">
      <c r="A89" t="s">
        <v>17</v>
      </c>
      <c r="B89" t="str">
        <f>'Exp 2.1 - DBD_V_sweep'!A56</f>
        <v>BLOCK 7</v>
      </c>
      <c r="C89" t="str">
        <f>'Exp 2.1 - DBD_V_sweep'!C56</f>
        <v>PULSE</v>
      </c>
      <c r="D89">
        <f>'Exp 2.1 - DBD_V_sweep'!D56</f>
        <v>1</v>
      </c>
      <c r="E89">
        <f>'Exp 2.1 - DBD_V_sweep'!E56</f>
        <v>5</v>
      </c>
      <c r="F89">
        <f>'Exp 2.1 - DBD_V_sweep'!G56</f>
        <v>10</v>
      </c>
      <c r="G89">
        <f>'Exp 2.1 - DBD_V_sweep'!H56</f>
        <v>0</v>
      </c>
      <c r="H89">
        <f>'Exp 2.1 - DBD_V_sweep'!I56</f>
        <v>0</v>
      </c>
      <c r="I89">
        <f>'Exp 2.1 - DBD_V_sweep'!L56</f>
        <v>0</v>
      </c>
      <c r="J89" t="str">
        <f>'Exp 2.1 - DBD_V_sweep'!M56</f>
        <v/>
      </c>
      <c r="K89">
        <f>'Exp 2.1 - DBD_V_sweep'!N56</f>
        <v>0</v>
      </c>
      <c r="L89">
        <f>'Exp 2.1 - DBD_V_sweep'!O56</f>
        <v>0</v>
      </c>
      <c r="M89">
        <f>'Exp 2.1 - DBD_V_sweep'!P56</f>
        <v>0</v>
      </c>
      <c r="N89" t="str">
        <f>'Exp 2.1 - DBD_V_sweep'!S56</f>
        <v/>
      </c>
      <c r="O89" t="str">
        <f>'Exp 2.1 - DBD_V_sweep'!U56</f>
        <v/>
      </c>
      <c r="P89" t="str">
        <f>'Exp 2.1 - DBD_V_sweep'!V56</f>
        <v/>
      </c>
      <c r="Q89">
        <f>'Exp 2.1 - DBD_V_sweep'!X56</f>
        <v>0</v>
      </c>
      <c r="R89" t="str">
        <f t="shared" si="4"/>
        <v/>
      </c>
      <c r="S89" t="str">
        <f>'Exp 2.1 - DBD_V_sweep'!AA56</f>
        <v/>
      </c>
      <c r="T89">
        <f>'Exp 2.1 - DBD_V_sweep'!AM56</f>
        <v>0</v>
      </c>
      <c r="U89">
        <f>'Exp 2.1 - DBD_V_sweep'!AO56</f>
        <v>0</v>
      </c>
      <c r="V89">
        <f>IF($L89="","",$L89*Equipment!$B$16/100)</f>
        <v>0</v>
      </c>
      <c r="W89" t="str">
        <f>IF($P89="","",$P89*Equipment!$B$19/100)</f>
        <v/>
      </c>
      <c r="X89" t="str">
        <f t="shared" si="5"/>
        <v/>
      </c>
      <c r="Y89">
        <f>'Exp 2.1 - DBD_V_sweep'!AR56</f>
        <v>0</v>
      </c>
    </row>
    <row r="90" spans="1:25" x14ac:dyDescent="0.3">
      <c r="A90" t="s">
        <v>17</v>
      </c>
      <c r="B90" t="str">
        <f>'Exp 2.1 - DBD_V_sweep'!A57</f>
        <v>BLOCK 7</v>
      </c>
      <c r="C90" t="str">
        <f>'Exp 2.1 - DBD_V_sweep'!C57</f>
        <v>PULSE</v>
      </c>
      <c r="D90">
        <f>'Exp 2.1 - DBD_V_sweep'!D57</f>
        <v>1</v>
      </c>
      <c r="E90">
        <f>'Exp 2.1 - DBD_V_sweep'!E57</f>
        <v>5</v>
      </c>
      <c r="F90">
        <f>'Exp 2.1 - DBD_V_sweep'!G57</f>
        <v>10</v>
      </c>
      <c r="G90">
        <f>'Exp 2.1 - DBD_V_sweep'!H57</f>
        <v>0</v>
      </c>
      <c r="H90">
        <f>'Exp 2.1 - DBD_V_sweep'!I57</f>
        <v>0</v>
      </c>
      <c r="I90">
        <f>'Exp 2.1 - DBD_V_sweep'!L57</f>
        <v>0</v>
      </c>
      <c r="J90" t="str">
        <f>'Exp 2.1 - DBD_V_sweep'!M57</f>
        <v/>
      </c>
      <c r="K90">
        <f>'Exp 2.1 - DBD_V_sweep'!N57</f>
        <v>0</v>
      </c>
      <c r="L90">
        <f>'Exp 2.1 - DBD_V_sweep'!O57</f>
        <v>0</v>
      </c>
      <c r="M90">
        <f>'Exp 2.1 - DBD_V_sweep'!P57</f>
        <v>0</v>
      </c>
      <c r="N90" t="str">
        <f>'Exp 2.1 - DBD_V_sweep'!S57</f>
        <v/>
      </c>
      <c r="O90" t="str">
        <f>'Exp 2.1 - DBD_V_sweep'!U57</f>
        <v/>
      </c>
      <c r="P90" t="str">
        <f>'Exp 2.1 - DBD_V_sweep'!V57</f>
        <v/>
      </c>
      <c r="Q90">
        <f>'Exp 2.1 - DBD_V_sweep'!X57</f>
        <v>0</v>
      </c>
      <c r="R90" t="str">
        <f t="shared" si="4"/>
        <v/>
      </c>
      <c r="S90" t="str">
        <f>'Exp 2.1 - DBD_V_sweep'!AA57</f>
        <v/>
      </c>
      <c r="T90">
        <f>'Exp 2.1 - DBD_V_sweep'!AM57</f>
        <v>0</v>
      </c>
      <c r="U90">
        <f>'Exp 2.1 - DBD_V_sweep'!AO57</f>
        <v>0</v>
      </c>
      <c r="V90">
        <f>IF($L90="","",$L90*Equipment!$B$16/100)</f>
        <v>0</v>
      </c>
      <c r="W90" t="str">
        <f>IF($P90="","",$P90*Equipment!$B$19/100)</f>
        <v/>
      </c>
      <c r="X90" t="str">
        <f t="shared" si="5"/>
        <v/>
      </c>
      <c r="Y90">
        <f>'Exp 2.1 - DBD_V_sweep'!AR57</f>
        <v>0</v>
      </c>
    </row>
    <row r="91" spans="1:25" x14ac:dyDescent="0.3">
      <c r="A91" t="s">
        <v>17</v>
      </c>
      <c r="B91" t="str">
        <f>'Exp 2.1 - DBD_V_sweep'!A58</f>
        <v>BLOCK 7</v>
      </c>
      <c r="C91" t="str">
        <f>'Exp 2.1 - DBD_V_sweep'!C58</f>
        <v>PULSE</v>
      </c>
      <c r="D91">
        <f>'Exp 2.1 - DBD_V_sweep'!D58</f>
        <v>1</v>
      </c>
      <c r="E91">
        <f>'Exp 2.1 - DBD_V_sweep'!E58</f>
        <v>5</v>
      </c>
      <c r="F91">
        <f>'Exp 2.1 - DBD_V_sweep'!G58</f>
        <v>10</v>
      </c>
      <c r="G91">
        <f>'Exp 2.1 - DBD_V_sweep'!H58</f>
        <v>0</v>
      </c>
      <c r="H91">
        <f>'Exp 2.1 - DBD_V_sweep'!I58</f>
        <v>0</v>
      </c>
      <c r="I91">
        <f>'Exp 2.1 - DBD_V_sweep'!L58</f>
        <v>0</v>
      </c>
      <c r="J91" t="str">
        <f>'Exp 2.1 - DBD_V_sweep'!M58</f>
        <v/>
      </c>
      <c r="K91">
        <f>'Exp 2.1 - DBD_V_sweep'!N58</f>
        <v>0</v>
      </c>
      <c r="L91">
        <f>'Exp 2.1 - DBD_V_sweep'!O58</f>
        <v>0</v>
      </c>
      <c r="M91">
        <f>'Exp 2.1 - DBD_V_sweep'!P58</f>
        <v>0</v>
      </c>
      <c r="N91" t="str">
        <f>'Exp 2.1 - DBD_V_sweep'!S58</f>
        <v/>
      </c>
      <c r="O91" t="str">
        <f>'Exp 2.1 - DBD_V_sweep'!U58</f>
        <v/>
      </c>
      <c r="P91" t="str">
        <f>'Exp 2.1 - DBD_V_sweep'!V58</f>
        <v/>
      </c>
      <c r="Q91">
        <f>'Exp 2.1 - DBD_V_sweep'!X58</f>
        <v>0</v>
      </c>
      <c r="R91" t="str">
        <f t="shared" si="4"/>
        <v/>
      </c>
      <c r="S91" t="str">
        <f>'Exp 2.1 - DBD_V_sweep'!AA58</f>
        <v/>
      </c>
      <c r="T91">
        <f>'Exp 2.1 - DBD_V_sweep'!AM58</f>
        <v>0</v>
      </c>
      <c r="U91">
        <f>'Exp 2.1 - DBD_V_sweep'!AO58</f>
        <v>0</v>
      </c>
      <c r="V91">
        <f>IF($L91="","",$L91*Equipment!$B$16/100)</f>
        <v>0</v>
      </c>
      <c r="W91" t="str">
        <f>IF($P91="","",$P91*Equipment!$B$19/100)</f>
        <v/>
      </c>
      <c r="X91" t="str">
        <f t="shared" si="5"/>
        <v/>
      </c>
      <c r="Y91">
        <f>'Exp 2.1 - DBD_V_sweep'!AR58</f>
        <v>0</v>
      </c>
    </row>
    <row r="92" spans="1:25" x14ac:dyDescent="0.3">
      <c r="A92" t="s">
        <v>17</v>
      </c>
      <c r="B92" t="str">
        <f>'Exp 2.1 - DBD_V_sweep'!A59</f>
        <v>BLOCK 7</v>
      </c>
      <c r="C92" t="str">
        <f>'Exp 2.1 - DBD_V_sweep'!C59</f>
        <v>PULSE</v>
      </c>
      <c r="D92">
        <f>'Exp 2.1 - DBD_V_sweep'!D59</f>
        <v>1</v>
      </c>
      <c r="E92">
        <f>'Exp 2.1 - DBD_V_sweep'!E59</f>
        <v>5</v>
      </c>
      <c r="F92">
        <f>'Exp 2.1 - DBD_V_sweep'!G59</f>
        <v>10</v>
      </c>
      <c r="G92">
        <f>'Exp 2.1 - DBD_V_sweep'!H59</f>
        <v>0</v>
      </c>
      <c r="H92">
        <f>'Exp 2.1 - DBD_V_sweep'!I59</f>
        <v>0</v>
      </c>
      <c r="I92">
        <f>'Exp 2.1 - DBD_V_sweep'!L59</f>
        <v>0</v>
      </c>
      <c r="J92" t="str">
        <f>'Exp 2.1 - DBD_V_sweep'!M59</f>
        <v/>
      </c>
      <c r="K92">
        <f>'Exp 2.1 - DBD_V_sweep'!N59</f>
        <v>0</v>
      </c>
      <c r="L92">
        <f>'Exp 2.1 - DBD_V_sweep'!O59</f>
        <v>0</v>
      </c>
      <c r="M92">
        <f>'Exp 2.1 - DBD_V_sweep'!P59</f>
        <v>0</v>
      </c>
      <c r="N92" t="str">
        <f>'Exp 2.1 - DBD_V_sweep'!S59</f>
        <v/>
      </c>
      <c r="O92" t="str">
        <f>'Exp 2.1 - DBD_V_sweep'!U59</f>
        <v/>
      </c>
      <c r="P92" t="str">
        <f>'Exp 2.1 - DBD_V_sweep'!V59</f>
        <v/>
      </c>
      <c r="Q92">
        <f>'Exp 2.1 - DBD_V_sweep'!X59</f>
        <v>0</v>
      </c>
      <c r="R92" t="str">
        <f t="shared" si="4"/>
        <v/>
      </c>
      <c r="S92" t="str">
        <f>'Exp 2.1 - DBD_V_sweep'!AA59</f>
        <v/>
      </c>
      <c r="T92">
        <f>'Exp 2.1 - DBD_V_sweep'!AM59</f>
        <v>0</v>
      </c>
      <c r="U92">
        <f>'Exp 2.1 - DBD_V_sweep'!AO59</f>
        <v>0</v>
      </c>
      <c r="V92">
        <f>IF($L92="","",$L92*Equipment!$B$16/100)</f>
        <v>0</v>
      </c>
      <c r="W92" t="str">
        <f>IF($P92="","",$P92*Equipment!$B$19/100)</f>
        <v/>
      </c>
      <c r="X92" t="str">
        <f t="shared" si="5"/>
        <v/>
      </c>
      <c r="Y92">
        <f>'Exp 2.1 - DBD_V_sweep'!AR59</f>
        <v>0</v>
      </c>
    </row>
    <row r="93" spans="1:25" x14ac:dyDescent="0.3">
      <c r="A93" t="s">
        <v>17</v>
      </c>
      <c r="B93" t="str">
        <f>'Exp 2.1 - DBD_V_sweep'!A60</f>
        <v>BLOCK 7</v>
      </c>
      <c r="C93" t="str">
        <f>'Exp 2.1 - DBD_V_sweep'!C60</f>
        <v>PULSE</v>
      </c>
      <c r="D93">
        <f>'Exp 2.1 - DBD_V_sweep'!D60</f>
        <v>1</v>
      </c>
      <c r="E93">
        <f>'Exp 2.1 - DBD_V_sweep'!E60</f>
        <v>5</v>
      </c>
      <c r="F93">
        <f>'Exp 2.1 - DBD_V_sweep'!G60</f>
        <v>10</v>
      </c>
      <c r="G93">
        <f>'Exp 2.1 - DBD_V_sweep'!H60</f>
        <v>0</v>
      </c>
      <c r="H93">
        <f>'Exp 2.1 - DBD_V_sweep'!I60</f>
        <v>0</v>
      </c>
      <c r="I93">
        <f>'Exp 2.1 - DBD_V_sweep'!L60</f>
        <v>0</v>
      </c>
      <c r="J93" t="str">
        <f>'Exp 2.1 - DBD_V_sweep'!M60</f>
        <v/>
      </c>
      <c r="K93">
        <f>'Exp 2.1 - DBD_V_sweep'!N60</f>
        <v>0</v>
      </c>
      <c r="L93">
        <f>'Exp 2.1 - DBD_V_sweep'!O60</f>
        <v>0</v>
      </c>
      <c r="M93">
        <f>'Exp 2.1 - DBD_V_sweep'!P60</f>
        <v>0</v>
      </c>
      <c r="N93" t="str">
        <f>'Exp 2.1 - DBD_V_sweep'!S60</f>
        <v/>
      </c>
      <c r="O93" t="str">
        <f>'Exp 2.1 - DBD_V_sweep'!U60</f>
        <v/>
      </c>
      <c r="P93" t="str">
        <f>'Exp 2.1 - DBD_V_sweep'!V60</f>
        <v/>
      </c>
      <c r="Q93">
        <f>'Exp 2.1 - DBD_V_sweep'!X60</f>
        <v>0</v>
      </c>
      <c r="R93" t="str">
        <f t="shared" si="4"/>
        <v/>
      </c>
      <c r="S93" t="str">
        <f>'Exp 2.1 - DBD_V_sweep'!AA60</f>
        <v/>
      </c>
      <c r="T93">
        <f>'Exp 2.1 - DBD_V_sweep'!AM60</f>
        <v>0</v>
      </c>
      <c r="U93">
        <f>'Exp 2.1 - DBD_V_sweep'!AO60</f>
        <v>0</v>
      </c>
      <c r="V93">
        <f>IF($L93="","",$L93*Equipment!$B$16/100)</f>
        <v>0</v>
      </c>
      <c r="W93" t="str">
        <f>IF($P93="","",$P93*Equipment!$B$19/100)</f>
        <v/>
      </c>
      <c r="X93" t="str">
        <f t="shared" si="5"/>
        <v/>
      </c>
      <c r="Y93">
        <f>'Exp 2.1 - DBD_V_sweep'!AR60</f>
        <v>0</v>
      </c>
    </row>
    <row r="94" spans="1:25" x14ac:dyDescent="0.3">
      <c r="A94" t="s">
        <v>17</v>
      </c>
      <c r="B94" t="str">
        <f>'Exp 2.1 - DBD_V_sweep'!A61</f>
        <v>BLOCK 7</v>
      </c>
      <c r="C94" t="str">
        <f>'Exp 2.1 - DBD_V_sweep'!C61</f>
        <v>PULSE</v>
      </c>
      <c r="D94">
        <f>'Exp 2.1 - DBD_V_sweep'!D61</f>
        <v>1</v>
      </c>
      <c r="E94">
        <f>'Exp 2.1 - DBD_V_sweep'!E61</f>
        <v>5</v>
      </c>
      <c r="F94">
        <f>'Exp 2.1 - DBD_V_sweep'!G61</f>
        <v>10</v>
      </c>
      <c r="G94">
        <f>'Exp 2.1 - DBD_V_sweep'!H61</f>
        <v>0</v>
      </c>
      <c r="H94">
        <f>'Exp 2.1 - DBD_V_sweep'!I61</f>
        <v>0</v>
      </c>
      <c r="I94">
        <f>'Exp 2.1 - DBD_V_sweep'!L61</f>
        <v>0</v>
      </c>
      <c r="J94" t="str">
        <f>'Exp 2.1 - DBD_V_sweep'!M61</f>
        <v/>
      </c>
      <c r="K94">
        <f>'Exp 2.1 - DBD_V_sweep'!N61</f>
        <v>0</v>
      </c>
      <c r="L94">
        <f>'Exp 2.1 - DBD_V_sweep'!O61</f>
        <v>0</v>
      </c>
      <c r="M94">
        <f>'Exp 2.1 - DBD_V_sweep'!P61</f>
        <v>0</v>
      </c>
      <c r="N94" t="str">
        <f>'Exp 2.1 - DBD_V_sweep'!S61</f>
        <v/>
      </c>
      <c r="O94" t="str">
        <f>'Exp 2.1 - DBD_V_sweep'!U61</f>
        <v/>
      </c>
      <c r="P94" t="str">
        <f>'Exp 2.1 - DBD_V_sweep'!V61</f>
        <v/>
      </c>
      <c r="Q94">
        <f>'Exp 2.1 - DBD_V_sweep'!X61</f>
        <v>0</v>
      </c>
      <c r="R94" t="str">
        <f t="shared" si="4"/>
        <v/>
      </c>
      <c r="S94" t="str">
        <f>'Exp 2.1 - DBD_V_sweep'!AA61</f>
        <v/>
      </c>
      <c r="T94">
        <f>'Exp 2.1 - DBD_V_sweep'!AM61</f>
        <v>0</v>
      </c>
      <c r="U94">
        <f>'Exp 2.1 - DBD_V_sweep'!AO61</f>
        <v>0</v>
      </c>
      <c r="V94">
        <f>IF($L94="","",$L94*Equipment!$B$16/100)</f>
        <v>0</v>
      </c>
      <c r="W94" t="str">
        <f>IF($P94="","",$P94*Equipment!$B$19/100)</f>
        <v/>
      </c>
      <c r="X94" t="str">
        <f t="shared" si="5"/>
        <v/>
      </c>
      <c r="Y94">
        <f>'Exp 2.1 - DBD_V_sweep'!AR61</f>
        <v>0</v>
      </c>
    </row>
    <row r="95" spans="1:25" x14ac:dyDescent="0.3">
      <c r="A95" t="s">
        <v>17</v>
      </c>
      <c r="B95" t="str">
        <f>'Exp 2.1 - DBD_V_sweep'!A62</f>
        <v>BLOCK 7</v>
      </c>
      <c r="C95" t="str">
        <f>'Exp 2.1 - DBD_V_sweep'!C62</f>
        <v>PULSE</v>
      </c>
      <c r="D95">
        <f>'Exp 2.1 - DBD_V_sweep'!D62</f>
        <v>1</v>
      </c>
      <c r="E95">
        <f>'Exp 2.1 - DBD_V_sweep'!E62</f>
        <v>5</v>
      </c>
      <c r="F95">
        <f>'Exp 2.1 - DBD_V_sweep'!G62</f>
        <v>10</v>
      </c>
      <c r="G95">
        <f>'Exp 2.1 - DBD_V_sweep'!H62</f>
        <v>0</v>
      </c>
      <c r="H95">
        <f>'Exp 2.1 - DBD_V_sweep'!I62</f>
        <v>0</v>
      </c>
      <c r="I95">
        <f>'Exp 2.1 - DBD_V_sweep'!L62</f>
        <v>0</v>
      </c>
      <c r="J95" t="str">
        <f>'Exp 2.1 - DBD_V_sweep'!M62</f>
        <v/>
      </c>
      <c r="K95">
        <f>'Exp 2.1 - DBD_V_sweep'!N62</f>
        <v>0</v>
      </c>
      <c r="L95">
        <f>'Exp 2.1 - DBD_V_sweep'!O62</f>
        <v>0</v>
      </c>
      <c r="M95">
        <f>'Exp 2.1 - DBD_V_sweep'!P62</f>
        <v>0</v>
      </c>
      <c r="N95" t="str">
        <f>'Exp 2.1 - DBD_V_sweep'!S62</f>
        <v/>
      </c>
      <c r="O95" t="str">
        <f>'Exp 2.1 - DBD_V_sweep'!U62</f>
        <v/>
      </c>
      <c r="P95" t="str">
        <f>'Exp 2.1 - DBD_V_sweep'!V62</f>
        <v/>
      </c>
      <c r="Q95">
        <f>'Exp 2.1 - DBD_V_sweep'!X62</f>
        <v>0</v>
      </c>
      <c r="R95" t="str">
        <f t="shared" si="4"/>
        <v/>
      </c>
      <c r="S95" t="str">
        <f>'Exp 2.1 - DBD_V_sweep'!AA62</f>
        <v/>
      </c>
      <c r="T95">
        <f>'Exp 2.1 - DBD_V_sweep'!AM62</f>
        <v>0</v>
      </c>
      <c r="U95">
        <f>'Exp 2.1 - DBD_V_sweep'!AO62</f>
        <v>0</v>
      </c>
      <c r="V95">
        <f>IF($L95="","",$L95*Equipment!$B$16/100)</f>
        <v>0</v>
      </c>
      <c r="W95" t="str">
        <f>IF($P95="","",$P95*Equipment!$B$19/100)</f>
        <v/>
      </c>
      <c r="X95" t="str">
        <f t="shared" si="5"/>
        <v/>
      </c>
      <c r="Y95">
        <f>'Exp 2.1 - DBD_V_sweep'!AR62</f>
        <v>0</v>
      </c>
    </row>
    <row r="96" spans="1:25" x14ac:dyDescent="0.3">
      <c r="A96" t="s">
        <v>17</v>
      </c>
      <c r="B96" t="str">
        <f>'Exp 2.1 - DBD_V_sweep'!A64</f>
        <v>BLOCK 8</v>
      </c>
      <c r="C96" t="str">
        <f>'Exp 2.1 - DBD_V_sweep'!C64</f>
        <v>SQUARE</v>
      </c>
      <c r="D96">
        <f>'Exp 2.1 - DBD_V_sweep'!D64</f>
        <v>1</v>
      </c>
      <c r="E96">
        <f>'Exp 2.1 - DBD_V_sweep'!E64</f>
        <v>5</v>
      </c>
      <c r="F96">
        <f>'Exp 2.1 - DBD_V_sweep'!G64</f>
        <v>50</v>
      </c>
      <c r="G96">
        <f>'Exp 2.1 - DBD_V_sweep'!H64</f>
        <v>0</v>
      </c>
      <c r="H96">
        <f>'Exp 2.1 - DBD_V_sweep'!I64</f>
        <v>0</v>
      </c>
      <c r="I96">
        <f>'Exp 2.1 - DBD_V_sweep'!L64</f>
        <v>0</v>
      </c>
      <c r="J96" t="str">
        <f>'Exp 2.1 - DBD_V_sweep'!M64</f>
        <v/>
      </c>
      <c r="K96">
        <f>'Exp 2.1 - DBD_V_sweep'!N64</f>
        <v>0</v>
      </c>
      <c r="L96">
        <f>'Exp 2.1 - DBD_V_sweep'!O64</f>
        <v>0</v>
      </c>
      <c r="M96">
        <f>'Exp 2.1 - DBD_V_sweep'!P64</f>
        <v>0</v>
      </c>
      <c r="N96" t="str">
        <f>'Exp 2.1 - DBD_V_sweep'!S64</f>
        <v/>
      </c>
      <c r="O96" t="str">
        <f>'Exp 2.1 - DBD_V_sweep'!U64</f>
        <v/>
      </c>
      <c r="P96" t="str">
        <f>'Exp 2.1 - DBD_V_sweep'!V64</f>
        <v/>
      </c>
      <c r="Q96">
        <f>'Exp 2.1 - DBD_V_sweep'!X64</f>
        <v>0</v>
      </c>
      <c r="R96" t="str">
        <f t="shared" si="4"/>
        <v/>
      </c>
      <c r="S96" t="str">
        <f>'Exp 2.1 - DBD_V_sweep'!AA64</f>
        <v/>
      </c>
      <c r="T96">
        <f>'Exp 2.1 - DBD_V_sweep'!AM64</f>
        <v>0</v>
      </c>
      <c r="U96">
        <f>'Exp 2.1 - DBD_V_sweep'!AO64</f>
        <v>0</v>
      </c>
      <c r="V96">
        <f>IF($L96="","",$L96*Equipment!$B$16/100)</f>
        <v>0</v>
      </c>
      <c r="W96" t="str">
        <f>IF($P96="","",$P96*Equipment!$B$19/100)</f>
        <v/>
      </c>
      <c r="X96" t="str">
        <f t="shared" si="5"/>
        <v/>
      </c>
      <c r="Y96">
        <f>'Exp 2.1 - DBD_V_sweep'!AR64</f>
        <v>0</v>
      </c>
    </row>
    <row r="97" spans="1:25" x14ac:dyDescent="0.3">
      <c r="A97" t="s">
        <v>17</v>
      </c>
      <c r="B97" t="str">
        <f>'Exp 2.1 - DBD_V_sweep'!A65</f>
        <v>BLOCK 8</v>
      </c>
      <c r="C97" t="str">
        <f>'Exp 2.1 - DBD_V_sweep'!C65</f>
        <v>SQUARE</v>
      </c>
      <c r="D97">
        <f>'Exp 2.1 - DBD_V_sweep'!D65</f>
        <v>1</v>
      </c>
      <c r="E97">
        <f>'Exp 2.1 - DBD_V_sweep'!E65</f>
        <v>5</v>
      </c>
      <c r="F97">
        <f>'Exp 2.1 - DBD_V_sweep'!G65</f>
        <v>50</v>
      </c>
      <c r="G97">
        <f>'Exp 2.1 - DBD_V_sweep'!H65</f>
        <v>0</v>
      </c>
      <c r="H97">
        <f>'Exp 2.1 - DBD_V_sweep'!I65</f>
        <v>0</v>
      </c>
      <c r="I97">
        <f>'Exp 2.1 - DBD_V_sweep'!L65</f>
        <v>0</v>
      </c>
      <c r="J97" t="str">
        <f>'Exp 2.1 - DBD_V_sweep'!M65</f>
        <v/>
      </c>
      <c r="K97">
        <f>'Exp 2.1 - DBD_V_sweep'!N65</f>
        <v>0</v>
      </c>
      <c r="L97">
        <f>'Exp 2.1 - DBD_V_sweep'!O65</f>
        <v>0</v>
      </c>
      <c r="M97">
        <f>'Exp 2.1 - DBD_V_sweep'!P65</f>
        <v>0</v>
      </c>
      <c r="N97" t="str">
        <f>'Exp 2.1 - DBD_V_sweep'!S65</f>
        <v/>
      </c>
      <c r="O97" t="str">
        <f>'Exp 2.1 - DBD_V_sweep'!U65</f>
        <v/>
      </c>
      <c r="P97" t="str">
        <f>'Exp 2.1 - DBD_V_sweep'!V65</f>
        <v/>
      </c>
      <c r="Q97">
        <f>'Exp 2.1 - DBD_V_sweep'!X65</f>
        <v>0</v>
      </c>
      <c r="R97" t="str">
        <f t="shared" si="4"/>
        <v/>
      </c>
      <c r="S97" t="str">
        <f>'Exp 2.1 - DBD_V_sweep'!AA65</f>
        <v/>
      </c>
      <c r="T97">
        <f>'Exp 2.1 - DBD_V_sweep'!AM65</f>
        <v>0</v>
      </c>
      <c r="U97">
        <f>'Exp 2.1 - DBD_V_sweep'!AO65</f>
        <v>0</v>
      </c>
      <c r="V97">
        <f>IF($L97="","",$L97*Equipment!$B$16/100)</f>
        <v>0</v>
      </c>
      <c r="W97" t="str">
        <f>IF($P97="","",$P97*Equipment!$B$19/100)</f>
        <v/>
      </c>
      <c r="X97" t="str">
        <f t="shared" si="5"/>
        <v/>
      </c>
      <c r="Y97">
        <f>'Exp 2.1 - DBD_V_sweep'!AR65</f>
        <v>0</v>
      </c>
    </row>
    <row r="98" spans="1:25" x14ac:dyDescent="0.3">
      <c r="A98" t="s">
        <v>17</v>
      </c>
      <c r="B98" t="str">
        <f>'Exp 2.1 - DBD_V_sweep'!A66</f>
        <v>BLOCK 8</v>
      </c>
      <c r="C98" t="str">
        <f>'Exp 2.1 - DBD_V_sweep'!C66</f>
        <v>SQUARE</v>
      </c>
      <c r="D98">
        <f>'Exp 2.1 - DBD_V_sweep'!D66</f>
        <v>1</v>
      </c>
      <c r="E98">
        <f>'Exp 2.1 - DBD_V_sweep'!E66</f>
        <v>5</v>
      </c>
      <c r="F98">
        <f>'Exp 2.1 - DBD_V_sweep'!G66</f>
        <v>50</v>
      </c>
      <c r="G98">
        <f>'Exp 2.1 - DBD_V_sweep'!H66</f>
        <v>0</v>
      </c>
      <c r="H98">
        <f>'Exp 2.1 - DBD_V_sweep'!I66</f>
        <v>0</v>
      </c>
      <c r="I98">
        <f>'Exp 2.1 - DBD_V_sweep'!L66</f>
        <v>0</v>
      </c>
      <c r="J98" t="str">
        <f>'Exp 2.1 - DBD_V_sweep'!M66</f>
        <v/>
      </c>
      <c r="K98">
        <f>'Exp 2.1 - DBD_V_sweep'!N66</f>
        <v>0</v>
      </c>
      <c r="L98">
        <f>'Exp 2.1 - DBD_V_sweep'!O66</f>
        <v>0</v>
      </c>
      <c r="M98">
        <f>'Exp 2.1 - DBD_V_sweep'!P66</f>
        <v>0</v>
      </c>
      <c r="N98" t="str">
        <f>'Exp 2.1 - DBD_V_sweep'!S66</f>
        <v/>
      </c>
      <c r="O98" t="str">
        <f>'Exp 2.1 - DBD_V_sweep'!U66</f>
        <v/>
      </c>
      <c r="P98" t="str">
        <f>'Exp 2.1 - DBD_V_sweep'!V66</f>
        <v/>
      </c>
      <c r="Q98">
        <f>'Exp 2.1 - DBD_V_sweep'!X66</f>
        <v>0</v>
      </c>
      <c r="R98" t="str">
        <f t="shared" si="4"/>
        <v/>
      </c>
      <c r="S98" t="str">
        <f>'Exp 2.1 - DBD_V_sweep'!AA66</f>
        <v/>
      </c>
      <c r="T98">
        <f>'Exp 2.1 - DBD_V_sweep'!AM66</f>
        <v>0</v>
      </c>
      <c r="U98">
        <f>'Exp 2.1 - DBD_V_sweep'!AO66</f>
        <v>0</v>
      </c>
      <c r="V98">
        <f>IF($L98="","",$L98*Equipment!$B$16/100)</f>
        <v>0</v>
      </c>
      <c r="W98" t="str">
        <f>IF($P98="","",$P98*Equipment!$B$19/100)</f>
        <v/>
      </c>
      <c r="X98" t="str">
        <f t="shared" si="5"/>
        <v/>
      </c>
      <c r="Y98">
        <f>'Exp 2.1 - DBD_V_sweep'!AR66</f>
        <v>0</v>
      </c>
    </row>
    <row r="99" spans="1:25" x14ac:dyDescent="0.3">
      <c r="A99" t="s">
        <v>17</v>
      </c>
      <c r="B99" t="str">
        <f>'Exp 2.1 - DBD_V_sweep'!A67</f>
        <v>BLOCK 8</v>
      </c>
      <c r="C99" t="str">
        <f>'Exp 2.1 - DBD_V_sweep'!C67</f>
        <v>SQUARE</v>
      </c>
      <c r="D99">
        <f>'Exp 2.1 - DBD_V_sweep'!D67</f>
        <v>1</v>
      </c>
      <c r="E99">
        <f>'Exp 2.1 - DBD_V_sweep'!E67</f>
        <v>5</v>
      </c>
      <c r="F99">
        <f>'Exp 2.1 - DBD_V_sweep'!G67</f>
        <v>50</v>
      </c>
      <c r="G99">
        <f>'Exp 2.1 - DBD_V_sweep'!H67</f>
        <v>0</v>
      </c>
      <c r="H99">
        <f>'Exp 2.1 - DBD_V_sweep'!I67</f>
        <v>0</v>
      </c>
      <c r="I99">
        <f>'Exp 2.1 - DBD_V_sweep'!L67</f>
        <v>0</v>
      </c>
      <c r="J99" t="str">
        <f>'Exp 2.1 - DBD_V_sweep'!M67</f>
        <v/>
      </c>
      <c r="K99">
        <f>'Exp 2.1 - DBD_V_sweep'!N67</f>
        <v>0</v>
      </c>
      <c r="L99">
        <f>'Exp 2.1 - DBD_V_sweep'!O67</f>
        <v>0</v>
      </c>
      <c r="M99">
        <f>'Exp 2.1 - DBD_V_sweep'!P67</f>
        <v>0</v>
      </c>
      <c r="N99" t="str">
        <f>'Exp 2.1 - DBD_V_sweep'!S67</f>
        <v/>
      </c>
      <c r="O99" t="str">
        <f>'Exp 2.1 - DBD_V_sweep'!U67</f>
        <v/>
      </c>
      <c r="P99" t="str">
        <f>'Exp 2.1 - DBD_V_sweep'!V67</f>
        <v/>
      </c>
      <c r="Q99">
        <f>'Exp 2.1 - DBD_V_sweep'!X67</f>
        <v>0</v>
      </c>
      <c r="R99" t="str">
        <f t="shared" ref="R99:R130" si="6">IFERROR(IF(OR($J99="",$P99="",$J99=0),"",$P99/$J99*100),"")</f>
        <v/>
      </c>
      <c r="S99" t="str">
        <f>'Exp 2.1 - DBD_V_sweep'!AA67</f>
        <v/>
      </c>
      <c r="T99">
        <f>'Exp 2.1 - DBD_V_sweep'!AM67</f>
        <v>0</v>
      </c>
      <c r="U99">
        <f>'Exp 2.1 - DBD_V_sweep'!AO67</f>
        <v>0</v>
      </c>
      <c r="V99">
        <f>IF($L99="","",$L99*Equipment!$B$16/100)</f>
        <v>0</v>
      </c>
      <c r="W99" t="str">
        <f>IF($P99="","",$P99*Equipment!$B$19/100)</f>
        <v/>
      </c>
      <c r="X99" t="str">
        <f t="shared" ref="X99:X130" si="7">IF(R99="","",IF(OR(R99&gt;105,R99&lt;-5),"⚠ suspect (déphasage/deskew probable)",IF(R99&gt;90,"△ à surveiller (&gt;90%)","ok")))</f>
        <v/>
      </c>
      <c r="Y99">
        <f>'Exp 2.1 - DBD_V_sweep'!AR67</f>
        <v>0</v>
      </c>
    </row>
    <row r="100" spans="1:25" x14ac:dyDescent="0.3">
      <c r="A100" t="s">
        <v>17</v>
      </c>
      <c r="B100" t="str">
        <f>'Exp 2.1 - DBD_V_sweep'!A68</f>
        <v>BLOCK 8</v>
      </c>
      <c r="C100" t="str">
        <f>'Exp 2.1 - DBD_V_sweep'!C68</f>
        <v>SQUARE</v>
      </c>
      <c r="D100">
        <f>'Exp 2.1 - DBD_V_sweep'!D68</f>
        <v>1</v>
      </c>
      <c r="E100">
        <f>'Exp 2.1 - DBD_V_sweep'!E68</f>
        <v>5</v>
      </c>
      <c r="F100">
        <f>'Exp 2.1 - DBD_V_sweep'!G68</f>
        <v>50</v>
      </c>
      <c r="G100">
        <f>'Exp 2.1 - DBD_V_sweep'!H68</f>
        <v>0</v>
      </c>
      <c r="H100">
        <f>'Exp 2.1 - DBD_V_sweep'!I68</f>
        <v>0</v>
      </c>
      <c r="I100">
        <f>'Exp 2.1 - DBD_V_sweep'!L68</f>
        <v>0</v>
      </c>
      <c r="J100" t="str">
        <f>'Exp 2.1 - DBD_V_sweep'!M68</f>
        <v/>
      </c>
      <c r="K100">
        <f>'Exp 2.1 - DBD_V_sweep'!N68</f>
        <v>0</v>
      </c>
      <c r="L100">
        <f>'Exp 2.1 - DBD_V_sweep'!O68</f>
        <v>0</v>
      </c>
      <c r="M100">
        <f>'Exp 2.1 - DBD_V_sweep'!P68</f>
        <v>0</v>
      </c>
      <c r="N100" t="str">
        <f>'Exp 2.1 - DBD_V_sweep'!S68</f>
        <v/>
      </c>
      <c r="O100" t="str">
        <f>'Exp 2.1 - DBD_V_sweep'!U68</f>
        <v/>
      </c>
      <c r="P100" t="str">
        <f>'Exp 2.1 - DBD_V_sweep'!V68</f>
        <v/>
      </c>
      <c r="Q100">
        <f>'Exp 2.1 - DBD_V_sweep'!X68</f>
        <v>0</v>
      </c>
      <c r="R100" t="str">
        <f t="shared" si="6"/>
        <v/>
      </c>
      <c r="S100" t="str">
        <f>'Exp 2.1 - DBD_V_sweep'!AA68</f>
        <v/>
      </c>
      <c r="T100">
        <f>'Exp 2.1 - DBD_V_sweep'!AM68</f>
        <v>0</v>
      </c>
      <c r="U100">
        <f>'Exp 2.1 - DBD_V_sweep'!AO68</f>
        <v>0</v>
      </c>
      <c r="V100">
        <f>IF($L100="","",$L100*Equipment!$B$16/100)</f>
        <v>0</v>
      </c>
      <c r="W100" t="str">
        <f>IF($P100="","",$P100*Equipment!$B$19/100)</f>
        <v/>
      </c>
      <c r="X100" t="str">
        <f t="shared" si="7"/>
        <v/>
      </c>
      <c r="Y100">
        <f>'Exp 2.1 - DBD_V_sweep'!AR68</f>
        <v>0</v>
      </c>
    </row>
    <row r="101" spans="1:25" x14ac:dyDescent="0.3">
      <c r="A101" t="s">
        <v>17</v>
      </c>
      <c r="B101" t="str">
        <f>'Exp 2.1 - DBD_V_sweep'!A69</f>
        <v>BLOCK 8</v>
      </c>
      <c r="C101" t="str">
        <f>'Exp 2.1 - DBD_V_sweep'!C69</f>
        <v>SQUARE</v>
      </c>
      <c r="D101">
        <f>'Exp 2.1 - DBD_V_sweep'!D69</f>
        <v>1</v>
      </c>
      <c r="E101">
        <f>'Exp 2.1 - DBD_V_sweep'!E69</f>
        <v>5</v>
      </c>
      <c r="F101">
        <f>'Exp 2.1 - DBD_V_sweep'!G69</f>
        <v>50</v>
      </c>
      <c r="G101">
        <f>'Exp 2.1 - DBD_V_sweep'!H69</f>
        <v>0</v>
      </c>
      <c r="H101">
        <f>'Exp 2.1 - DBD_V_sweep'!I69</f>
        <v>0</v>
      </c>
      <c r="I101">
        <f>'Exp 2.1 - DBD_V_sweep'!L69</f>
        <v>0</v>
      </c>
      <c r="J101" t="str">
        <f>'Exp 2.1 - DBD_V_sweep'!M69</f>
        <v/>
      </c>
      <c r="K101">
        <f>'Exp 2.1 - DBD_V_sweep'!N69</f>
        <v>0</v>
      </c>
      <c r="L101">
        <f>'Exp 2.1 - DBD_V_sweep'!O69</f>
        <v>0</v>
      </c>
      <c r="M101">
        <f>'Exp 2.1 - DBD_V_sweep'!P69</f>
        <v>0</v>
      </c>
      <c r="N101" t="str">
        <f>'Exp 2.1 - DBD_V_sweep'!S69</f>
        <v/>
      </c>
      <c r="O101" t="str">
        <f>'Exp 2.1 - DBD_V_sweep'!U69</f>
        <v/>
      </c>
      <c r="P101" t="str">
        <f>'Exp 2.1 - DBD_V_sweep'!V69</f>
        <v/>
      </c>
      <c r="Q101">
        <f>'Exp 2.1 - DBD_V_sweep'!X69</f>
        <v>0</v>
      </c>
      <c r="R101" t="str">
        <f t="shared" si="6"/>
        <v/>
      </c>
      <c r="S101" t="str">
        <f>'Exp 2.1 - DBD_V_sweep'!AA69</f>
        <v/>
      </c>
      <c r="T101">
        <f>'Exp 2.1 - DBD_V_sweep'!AM69</f>
        <v>0</v>
      </c>
      <c r="U101">
        <f>'Exp 2.1 - DBD_V_sweep'!AO69</f>
        <v>0</v>
      </c>
      <c r="V101">
        <f>IF($L101="","",$L101*Equipment!$B$16/100)</f>
        <v>0</v>
      </c>
      <c r="W101" t="str">
        <f>IF($P101="","",$P101*Equipment!$B$19/100)</f>
        <v/>
      </c>
      <c r="X101" t="str">
        <f t="shared" si="7"/>
        <v/>
      </c>
      <c r="Y101">
        <f>'Exp 2.1 - DBD_V_sweep'!AR69</f>
        <v>0</v>
      </c>
    </row>
    <row r="102" spans="1:25" x14ac:dyDescent="0.3">
      <c r="A102" t="s">
        <v>17</v>
      </c>
      <c r="B102" t="str">
        <f>'Exp 2.1 - DBD_V_sweep'!A70</f>
        <v>BLOCK 8</v>
      </c>
      <c r="C102" t="str">
        <f>'Exp 2.1 - DBD_V_sweep'!C70</f>
        <v>SQUARE</v>
      </c>
      <c r="D102">
        <f>'Exp 2.1 - DBD_V_sweep'!D70</f>
        <v>1</v>
      </c>
      <c r="E102">
        <f>'Exp 2.1 - DBD_V_sweep'!E70</f>
        <v>5</v>
      </c>
      <c r="F102">
        <f>'Exp 2.1 - DBD_V_sweep'!G70</f>
        <v>50</v>
      </c>
      <c r="G102">
        <f>'Exp 2.1 - DBD_V_sweep'!H70</f>
        <v>0</v>
      </c>
      <c r="H102">
        <f>'Exp 2.1 - DBD_V_sweep'!I70</f>
        <v>0</v>
      </c>
      <c r="I102">
        <f>'Exp 2.1 - DBD_V_sweep'!L70</f>
        <v>0</v>
      </c>
      <c r="J102" t="str">
        <f>'Exp 2.1 - DBD_V_sweep'!M70</f>
        <v/>
      </c>
      <c r="K102">
        <f>'Exp 2.1 - DBD_V_sweep'!N70</f>
        <v>0</v>
      </c>
      <c r="L102">
        <f>'Exp 2.1 - DBD_V_sweep'!O70</f>
        <v>0</v>
      </c>
      <c r="M102">
        <f>'Exp 2.1 - DBD_V_sweep'!P70</f>
        <v>0</v>
      </c>
      <c r="N102" t="str">
        <f>'Exp 2.1 - DBD_V_sweep'!S70</f>
        <v/>
      </c>
      <c r="O102" t="str">
        <f>'Exp 2.1 - DBD_V_sweep'!U70</f>
        <v/>
      </c>
      <c r="P102" t="str">
        <f>'Exp 2.1 - DBD_V_sweep'!V70</f>
        <v/>
      </c>
      <c r="Q102">
        <f>'Exp 2.1 - DBD_V_sweep'!X70</f>
        <v>0</v>
      </c>
      <c r="R102" t="str">
        <f t="shared" si="6"/>
        <v/>
      </c>
      <c r="S102" t="str">
        <f>'Exp 2.1 - DBD_V_sweep'!AA70</f>
        <v/>
      </c>
      <c r="T102">
        <f>'Exp 2.1 - DBD_V_sweep'!AM70</f>
        <v>0</v>
      </c>
      <c r="U102">
        <f>'Exp 2.1 - DBD_V_sweep'!AO70</f>
        <v>0</v>
      </c>
      <c r="V102">
        <f>IF($L102="","",$L102*Equipment!$B$16/100)</f>
        <v>0</v>
      </c>
      <c r="W102" t="str">
        <f>IF($P102="","",$P102*Equipment!$B$19/100)</f>
        <v/>
      </c>
      <c r="X102" t="str">
        <f t="shared" si="7"/>
        <v/>
      </c>
      <c r="Y102">
        <f>'Exp 2.1 - DBD_V_sweep'!AR70</f>
        <v>0</v>
      </c>
    </row>
    <row r="103" spans="1:25" x14ac:dyDescent="0.3">
      <c r="A103" t="s">
        <v>17</v>
      </c>
      <c r="B103" t="str">
        <f>'Exp 2.1 - DBD_V_sweep'!A71</f>
        <v>BLOCK 8</v>
      </c>
      <c r="C103" t="str">
        <f>'Exp 2.1 - DBD_V_sweep'!C71</f>
        <v>SQUARE</v>
      </c>
      <c r="D103">
        <f>'Exp 2.1 - DBD_V_sweep'!D71</f>
        <v>1</v>
      </c>
      <c r="E103">
        <f>'Exp 2.1 - DBD_V_sweep'!E71</f>
        <v>5</v>
      </c>
      <c r="F103">
        <f>'Exp 2.1 - DBD_V_sweep'!G71</f>
        <v>50</v>
      </c>
      <c r="G103">
        <f>'Exp 2.1 - DBD_V_sweep'!H71</f>
        <v>0</v>
      </c>
      <c r="H103">
        <f>'Exp 2.1 - DBD_V_sweep'!I71</f>
        <v>0</v>
      </c>
      <c r="I103">
        <f>'Exp 2.1 - DBD_V_sweep'!L71</f>
        <v>0</v>
      </c>
      <c r="J103" t="str">
        <f>'Exp 2.1 - DBD_V_sweep'!M71</f>
        <v/>
      </c>
      <c r="K103">
        <f>'Exp 2.1 - DBD_V_sweep'!N71</f>
        <v>0</v>
      </c>
      <c r="L103">
        <f>'Exp 2.1 - DBD_V_sweep'!O71</f>
        <v>0</v>
      </c>
      <c r="M103">
        <f>'Exp 2.1 - DBD_V_sweep'!P71</f>
        <v>0</v>
      </c>
      <c r="N103" t="str">
        <f>'Exp 2.1 - DBD_V_sweep'!S71</f>
        <v/>
      </c>
      <c r="O103" t="str">
        <f>'Exp 2.1 - DBD_V_sweep'!U71</f>
        <v/>
      </c>
      <c r="P103" t="str">
        <f>'Exp 2.1 - DBD_V_sweep'!V71</f>
        <v/>
      </c>
      <c r="Q103">
        <f>'Exp 2.1 - DBD_V_sweep'!X71</f>
        <v>0</v>
      </c>
      <c r="R103" t="str">
        <f t="shared" si="6"/>
        <v/>
      </c>
      <c r="S103" t="str">
        <f>'Exp 2.1 - DBD_V_sweep'!AA71</f>
        <v/>
      </c>
      <c r="T103">
        <f>'Exp 2.1 - DBD_V_sweep'!AM71</f>
        <v>0</v>
      </c>
      <c r="U103">
        <f>'Exp 2.1 - DBD_V_sweep'!AO71</f>
        <v>0</v>
      </c>
      <c r="V103">
        <f>IF($L103="","",$L103*Equipment!$B$16/100)</f>
        <v>0</v>
      </c>
      <c r="W103" t="str">
        <f>IF($P103="","",$P103*Equipment!$B$19/100)</f>
        <v/>
      </c>
      <c r="X103" t="str">
        <f t="shared" si="7"/>
        <v/>
      </c>
      <c r="Y103">
        <f>'Exp 2.1 - DBD_V_sweep'!AR71</f>
        <v>0</v>
      </c>
    </row>
    <row r="104" spans="1:25" x14ac:dyDescent="0.3">
      <c r="A104" t="s">
        <v>17</v>
      </c>
      <c r="B104" t="str">
        <f>'Exp 2.1 - DBD_V_sweep'!A72</f>
        <v>BLOCK 8</v>
      </c>
      <c r="C104" t="str">
        <f>'Exp 2.1 - DBD_V_sweep'!C72</f>
        <v>SQUARE</v>
      </c>
      <c r="D104">
        <f>'Exp 2.1 - DBD_V_sweep'!D72</f>
        <v>1</v>
      </c>
      <c r="E104">
        <f>'Exp 2.1 - DBD_V_sweep'!E72</f>
        <v>5</v>
      </c>
      <c r="F104">
        <f>'Exp 2.1 - DBD_V_sweep'!G72</f>
        <v>50</v>
      </c>
      <c r="G104">
        <f>'Exp 2.1 - DBD_V_sweep'!H72</f>
        <v>0</v>
      </c>
      <c r="H104">
        <f>'Exp 2.1 - DBD_V_sweep'!I72</f>
        <v>0</v>
      </c>
      <c r="I104">
        <f>'Exp 2.1 - DBD_V_sweep'!L72</f>
        <v>0</v>
      </c>
      <c r="J104" t="str">
        <f>'Exp 2.1 - DBD_V_sweep'!M72</f>
        <v/>
      </c>
      <c r="K104">
        <f>'Exp 2.1 - DBD_V_sweep'!N72</f>
        <v>0</v>
      </c>
      <c r="L104">
        <f>'Exp 2.1 - DBD_V_sweep'!O72</f>
        <v>0</v>
      </c>
      <c r="M104">
        <f>'Exp 2.1 - DBD_V_sweep'!P72</f>
        <v>0</v>
      </c>
      <c r="N104" t="str">
        <f>'Exp 2.1 - DBD_V_sweep'!S72</f>
        <v/>
      </c>
      <c r="O104" t="str">
        <f>'Exp 2.1 - DBD_V_sweep'!U72</f>
        <v/>
      </c>
      <c r="P104" t="str">
        <f>'Exp 2.1 - DBD_V_sweep'!V72</f>
        <v/>
      </c>
      <c r="Q104">
        <f>'Exp 2.1 - DBD_V_sweep'!X72</f>
        <v>0</v>
      </c>
      <c r="R104" t="str">
        <f t="shared" si="6"/>
        <v/>
      </c>
      <c r="S104" t="str">
        <f>'Exp 2.1 - DBD_V_sweep'!AA72</f>
        <v/>
      </c>
      <c r="T104">
        <f>'Exp 2.1 - DBD_V_sweep'!AM72</f>
        <v>0</v>
      </c>
      <c r="U104">
        <f>'Exp 2.1 - DBD_V_sweep'!AO72</f>
        <v>0</v>
      </c>
      <c r="V104">
        <f>IF($L104="","",$L104*Equipment!$B$16/100)</f>
        <v>0</v>
      </c>
      <c r="W104" t="str">
        <f>IF($P104="","",$P104*Equipment!$B$19/100)</f>
        <v/>
      </c>
      <c r="X104" t="str">
        <f t="shared" si="7"/>
        <v/>
      </c>
      <c r="Y104">
        <f>'Exp 2.1 - DBD_V_sweep'!AR72</f>
        <v>0</v>
      </c>
    </row>
    <row r="105" spans="1:25" x14ac:dyDescent="0.3">
      <c r="A105" t="s">
        <v>17</v>
      </c>
      <c r="B105" t="str">
        <f>'Exp 2.1 - DBD_V_sweep'!A73</f>
        <v>BLOCK 8</v>
      </c>
      <c r="C105" t="str">
        <f>'Exp 2.1 - DBD_V_sweep'!C73</f>
        <v>SQUARE</v>
      </c>
      <c r="D105">
        <f>'Exp 2.1 - DBD_V_sweep'!D73</f>
        <v>1</v>
      </c>
      <c r="E105">
        <f>'Exp 2.1 - DBD_V_sweep'!E73</f>
        <v>5</v>
      </c>
      <c r="F105">
        <f>'Exp 2.1 - DBD_V_sweep'!G73</f>
        <v>50</v>
      </c>
      <c r="G105">
        <f>'Exp 2.1 - DBD_V_sweep'!H73</f>
        <v>0</v>
      </c>
      <c r="H105">
        <f>'Exp 2.1 - DBD_V_sweep'!I73</f>
        <v>0</v>
      </c>
      <c r="I105">
        <f>'Exp 2.1 - DBD_V_sweep'!L73</f>
        <v>0</v>
      </c>
      <c r="J105" t="str">
        <f>'Exp 2.1 - DBD_V_sweep'!M73</f>
        <v/>
      </c>
      <c r="K105">
        <f>'Exp 2.1 - DBD_V_sweep'!N73</f>
        <v>0</v>
      </c>
      <c r="L105">
        <f>'Exp 2.1 - DBD_V_sweep'!O73</f>
        <v>0</v>
      </c>
      <c r="M105">
        <f>'Exp 2.1 - DBD_V_sweep'!P73</f>
        <v>0</v>
      </c>
      <c r="N105" t="str">
        <f>'Exp 2.1 - DBD_V_sweep'!S73</f>
        <v/>
      </c>
      <c r="O105" t="str">
        <f>'Exp 2.1 - DBD_V_sweep'!U73</f>
        <v/>
      </c>
      <c r="P105" t="str">
        <f>'Exp 2.1 - DBD_V_sweep'!V73</f>
        <v/>
      </c>
      <c r="Q105">
        <f>'Exp 2.1 - DBD_V_sweep'!X73</f>
        <v>0</v>
      </c>
      <c r="R105" t="str">
        <f t="shared" si="6"/>
        <v/>
      </c>
      <c r="S105" t="str">
        <f>'Exp 2.1 - DBD_V_sweep'!AA73</f>
        <v/>
      </c>
      <c r="T105">
        <f>'Exp 2.1 - DBD_V_sweep'!AM73</f>
        <v>0</v>
      </c>
      <c r="U105">
        <f>'Exp 2.1 - DBD_V_sweep'!AO73</f>
        <v>0</v>
      </c>
      <c r="V105">
        <f>IF($L105="","",$L105*Equipment!$B$16/100)</f>
        <v>0</v>
      </c>
      <c r="W105" t="str">
        <f>IF($P105="","",$P105*Equipment!$B$19/100)</f>
        <v/>
      </c>
      <c r="X105" t="str">
        <f t="shared" si="7"/>
        <v/>
      </c>
      <c r="Y105">
        <f>'Exp 2.1 - DBD_V_sweep'!AR73</f>
        <v>0</v>
      </c>
    </row>
    <row r="106" spans="1:25" x14ac:dyDescent="0.3">
      <c r="A106" t="s">
        <v>17</v>
      </c>
      <c r="B106" t="str">
        <f>'Exp 2.1 - DBD_V_sweep'!A74</f>
        <v>BLOCK 8</v>
      </c>
      <c r="C106" t="str">
        <f>'Exp 2.1 - DBD_V_sweep'!C74</f>
        <v>SQUARE</v>
      </c>
      <c r="D106">
        <f>'Exp 2.1 - DBD_V_sweep'!D74</f>
        <v>1</v>
      </c>
      <c r="E106">
        <f>'Exp 2.1 - DBD_V_sweep'!E74</f>
        <v>5</v>
      </c>
      <c r="F106">
        <f>'Exp 2.1 - DBD_V_sweep'!G74</f>
        <v>50</v>
      </c>
      <c r="G106">
        <f>'Exp 2.1 - DBD_V_sweep'!H74</f>
        <v>0</v>
      </c>
      <c r="H106">
        <f>'Exp 2.1 - DBD_V_sweep'!I74</f>
        <v>0</v>
      </c>
      <c r="I106">
        <f>'Exp 2.1 - DBD_V_sweep'!L74</f>
        <v>0</v>
      </c>
      <c r="J106" t="str">
        <f>'Exp 2.1 - DBD_V_sweep'!M74</f>
        <v/>
      </c>
      <c r="K106">
        <f>'Exp 2.1 - DBD_V_sweep'!N74</f>
        <v>0</v>
      </c>
      <c r="L106">
        <f>'Exp 2.1 - DBD_V_sweep'!O74</f>
        <v>0</v>
      </c>
      <c r="M106">
        <f>'Exp 2.1 - DBD_V_sweep'!P74</f>
        <v>0</v>
      </c>
      <c r="N106" t="str">
        <f>'Exp 2.1 - DBD_V_sweep'!S74</f>
        <v/>
      </c>
      <c r="O106" t="str">
        <f>'Exp 2.1 - DBD_V_sweep'!U74</f>
        <v/>
      </c>
      <c r="P106" t="str">
        <f>'Exp 2.1 - DBD_V_sweep'!V74</f>
        <v/>
      </c>
      <c r="Q106">
        <f>'Exp 2.1 - DBD_V_sweep'!X74</f>
        <v>0</v>
      </c>
      <c r="R106" t="str">
        <f t="shared" si="6"/>
        <v/>
      </c>
      <c r="S106" t="str">
        <f>'Exp 2.1 - DBD_V_sweep'!AA74</f>
        <v/>
      </c>
      <c r="T106">
        <f>'Exp 2.1 - DBD_V_sweep'!AM74</f>
        <v>0</v>
      </c>
      <c r="U106">
        <f>'Exp 2.1 - DBD_V_sweep'!AO74</f>
        <v>0</v>
      </c>
      <c r="V106">
        <f>IF($L106="","",$L106*Equipment!$B$16/100)</f>
        <v>0</v>
      </c>
      <c r="W106" t="str">
        <f>IF($P106="","",$P106*Equipment!$B$19/100)</f>
        <v/>
      </c>
      <c r="X106" t="str">
        <f t="shared" si="7"/>
        <v/>
      </c>
      <c r="Y106">
        <f>'Exp 2.1 - DBD_V_sweep'!AR74</f>
        <v>0</v>
      </c>
    </row>
    <row r="107" spans="1:25" x14ac:dyDescent="0.3">
      <c r="A107" t="s">
        <v>17</v>
      </c>
      <c r="B107" t="str">
        <f>'Exp 2.1 - DBD_V_sweep'!A75</f>
        <v>BLOCK 8</v>
      </c>
      <c r="C107" t="str">
        <f>'Exp 2.1 - DBD_V_sweep'!C75</f>
        <v>SQUARE</v>
      </c>
      <c r="D107">
        <f>'Exp 2.1 - DBD_V_sweep'!D75</f>
        <v>1</v>
      </c>
      <c r="E107">
        <f>'Exp 2.1 - DBD_V_sweep'!E75</f>
        <v>5</v>
      </c>
      <c r="F107">
        <f>'Exp 2.1 - DBD_V_sweep'!G75</f>
        <v>50</v>
      </c>
      <c r="G107">
        <f>'Exp 2.1 - DBD_V_sweep'!H75</f>
        <v>0</v>
      </c>
      <c r="H107">
        <f>'Exp 2.1 - DBD_V_sweep'!I75</f>
        <v>0</v>
      </c>
      <c r="I107">
        <f>'Exp 2.1 - DBD_V_sweep'!L75</f>
        <v>0</v>
      </c>
      <c r="J107" t="str">
        <f>'Exp 2.1 - DBD_V_sweep'!M75</f>
        <v/>
      </c>
      <c r="K107">
        <f>'Exp 2.1 - DBD_V_sweep'!N75</f>
        <v>0</v>
      </c>
      <c r="L107">
        <f>'Exp 2.1 - DBD_V_sweep'!O75</f>
        <v>0</v>
      </c>
      <c r="M107">
        <f>'Exp 2.1 - DBD_V_sweep'!P75</f>
        <v>0</v>
      </c>
      <c r="N107" t="str">
        <f>'Exp 2.1 - DBD_V_sweep'!S75</f>
        <v/>
      </c>
      <c r="O107" t="str">
        <f>'Exp 2.1 - DBD_V_sweep'!U75</f>
        <v/>
      </c>
      <c r="P107" t="str">
        <f>'Exp 2.1 - DBD_V_sweep'!V75</f>
        <v/>
      </c>
      <c r="Q107">
        <f>'Exp 2.1 - DBD_V_sweep'!X75</f>
        <v>0</v>
      </c>
      <c r="R107" t="str">
        <f t="shared" si="6"/>
        <v/>
      </c>
      <c r="S107" t="str">
        <f>'Exp 2.1 - DBD_V_sweep'!AA75</f>
        <v/>
      </c>
      <c r="T107">
        <f>'Exp 2.1 - DBD_V_sweep'!AM75</f>
        <v>0</v>
      </c>
      <c r="U107">
        <f>'Exp 2.1 - DBD_V_sweep'!AO75</f>
        <v>0</v>
      </c>
      <c r="V107">
        <f>IF($L107="","",$L107*Equipment!$B$16/100)</f>
        <v>0</v>
      </c>
      <c r="W107" t="str">
        <f>IF($P107="","",$P107*Equipment!$B$19/100)</f>
        <v/>
      </c>
      <c r="X107" t="str">
        <f t="shared" si="7"/>
        <v/>
      </c>
      <c r="Y107">
        <f>'Exp 2.1 - DBD_V_sweep'!AR75</f>
        <v>0</v>
      </c>
    </row>
    <row r="108" spans="1:25" x14ac:dyDescent="0.3">
      <c r="A108" t="s">
        <v>19</v>
      </c>
      <c r="B108" t="str">
        <f>'Exp 2.2 - DBD_Freq_sweep'!A5</f>
        <v>BLOCK 1</v>
      </c>
      <c r="C108" t="str">
        <f>'Exp 2.2 - DBD_Freq_sweep'!C5</f>
        <v>SQUARE</v>
      </c>
      <c r="D108">
        <f>'Exp 2.2 - DBD_Freq_sweep'!D5</f>
        <v>3</v>
      </c>
      <c r="E108">
        <f>'Exp 2.2 - DBD_Freq_sweep'!E5</f>
        <v>2</v>
      </c>
      <c r="F108">
        <f>'Exp 2.2 - DBD_Freq_sweep'!G5</f>
        <v>100</v>
      </c>
      <c r="G108">
        <f>'Exp 2.2 - DBD_Freq_sweep'!H5</f>
        <v>2</v>
      </c>
      <c r="H108">
        <f>'Exp 2.2 - DBD_Freq_sweep'!I5</f>
        <v>1.996</v>
      </c>
      <c r="I108">
        <f>'Exp 2.2 - DBD_Freq_sweep'!L5</f>
        <v>0.37</v>
      </c>
      <c r="J108">
        <f>'Exp 2.2 - DBD_Freq_sweep'!M5</f>
        <v>0.74</v>
      </c>
      <c r="K108">
        <f>'Exp 2.2 - DBD_Freq_sweep'!N5</f>
        <v>2.0099999999999998</v>
      </c>
      <c r="L108">
        <f>'Exp 2.2 - DBD_Freq_sweep'!O5</f>
        <v>0.66400000000000003</v>
      </c>
      <c r="M108">
        <f>'Exp 2.2 - DBD_Freq_sweep'!P5</f>
        <v>0.32500000000000001</v>
      </c>
      <c r="N108">
        <f>'Exp 2.2 - DBD_Freq_sweep'!S5</f>
        <v>0.21580000000000002</v>
      </c>
      <c r="O108">
        <f>'Exp 2.2 - DBD_Freq_sweep'!U5</f>
        <v>0.52249856471594891</v>
      </c>
      <c r="P108">
        <f>'Exp 2.2 - DBD_Freq_sweep'!V5</f>
        <v>0.11285041571057232</v>
      </c>
      <c r="Q108">
        <f>'Exp 2.2 - DBD_Freq_sweep'!X5</f>
        <v>0</v>
      </c>
      <c r="R108">
        <f t="shared" si="6"/>
        <v>15.250056177104367</v>
      </c>
      <c r="S108">
        <f>'Exp 2.2 - DBD_Freq_sweep'!AA5</f>
        <v>0.24387599135977522</v>
      </c>
      <c r="T108">
        <f>'Exp 2.2 - DBD_Freq_sweep'!AM5</f>
        <v>27</v>
      </c>
      <c r="U108">
        <f>'Exp 2.2 - DBD_Freq_sweep'!AO5</f>
        <v>0</v>
      </c>
      <c r="V108">
        <f>IF($L108="","",$L108*Equipment!$B$16/100)</f>
        <v>1.992E-2</v>
      </c>
      <c r="W108">
        <f>IF($P108="","",$P108*Equipment!$B$19/100)</f>
        <v>6.7710249426343391E-3</v>
      </c>
      <c r="X108" t="str">
        <f t="shared" si="7"/>
        <v>ok</v>
      </c>
      <c r="Y108" t="str">
        <f>'Exp 2.2 - DBD_Freq_sweep'!AR5</f>
        <v>/</v>
      </c>
    </row>
    <row r="109" spans="1:25" x14ac:dyDescent="0.3">
      <c r="A109" t="s">
        <v>19</v>
      </c>
      <c r="B109" t="str">
        <f>'Exp 2.2 - DBD_Freq_sweep'!A6</f>
        <v>BLOCK 1</v>
      </c>
      <c r="C109" t="str">
        <f>'Exp 2.2 - DBD_Freq_sweep'!C6</f>
        <v>SQUARE</v>
      </c>
      <c r="D109">
        <f>'Exp 2.2 - DBD_Freq_sweep'!D6</f>
        <v>3</v>
      </c>
      <c r="E109">
        <f>'Exp 2.2 - DBD_Freq_sweep'!E6</f>
        <v>4</v>
      </c>
      <c r="F109">
        <f>'Exp 2.2 - DBD_Freq_sweep'!G6</f>
        <v>100</v>
      </c>
      <c r="G109">
        <f>'Exp 2.2 - DBD_Freq_sweep'!H6</f>
        <v>2</v>
      </c>
      <c r="H109">
        <f>'Exp 2.2 - DBD_Freq_sweep'!I6</f>
        <v>1.9930000000000001</v>
      </c>
      <c r="I109">
        <f>'Exp 2.2 - DBD_Freq_sweep'!L6</f>
        <v>0.32</v>
      </c>
      <c r="J109">
        <f>'Exp 2.2 - DBD_Freq_sweep'!M6</f>
        <v>0.64</v>
      </c>
      <c r="K109">
        <f>'Exp 2.2 - DBD_Freq_sweep'!N6</f>
        <v>3.09</v>
      </c>
      <c r="L109">
        <f>'Exp 2.2 - DBD_Freq_sweep'!O6</f>
        <v>1.05</v>
      </c>
      <c r="M109">
        <f>'Exp 2.2 - DBD_Freq_sweep'!P6</f>
        <v>0.251</v>
      </c>
      <c r="N109">
        <f>'Exp 2.2 - DBD_Freq_sweep'!S6</f>
        <v>0.26355000000000001</v>
      </c>
      <c r="O109">
        <f>'Exp 2.2 - DBD_Freq_sweep'!U6</f>
        <v>0.10452846326765346</v>
      </c>
      <c r="P109">
        <f>'Exp 2.2 - DBD_Freq_sweep'!V6</f>
        <v>2.7743276278647342E-2</v>
      </c>
      <c r="Q109">
        <f>'Exp 2.2 - DBD_Freq_sweep'!X6</f>
        <v>0</v>
      </c>
      <c r="R109">
        <f t="shared" si="6"/>
        <v>4.3348869185386469</v>
      </c>
      <c r="S109">
        <f>'Exp 2.2 - DBD_Freq_sweep'!AA6</f>
        <v>0.13378549835581022</v>
      </c>
      <c r="T109">
        <f>'Exp 2.2 - DBD_Freq_sweep'!AM6</f>
        <v>26</v>
      </c>
      <c r="U109">
        <f>'Exp 2.2 - DBD_Freq_sweep'!AO6</f>
        <v>0</v>
      </c>
      <c r="V109">
        <f>IF($L109="","",$L109*Equipment!$B$16/100)</f>
        <v>3.15E-2</v>
      </c>
      <c r="W109">
        <f>IF($P109="","",$P109*Equipment!$B$19/100)</f>
        <v>1.6645965767188406E-3</v>
      </c>
      <c r="X109" t="str">
        <f t="shared" si="7"/>
        <v>ok</v>
      </c>
      <c r="Y109" t="str">
        <f>'Exp 2.2 - DBD_Freq_sweep'!AR6</f>
        <v>/</v>
      </c>
    </row>
    <row r="110" spans="1:25" x14ac:dyDescent="0.3">
      <c r="A110" t="s">
        <v>19</v>
      </c>
      <c r="B110" t="str">
        <f>'Exp 2.2 - DBD_Freq_sweep'!A7</f>
        <v>BLOCK 1</v>
      </c>
      <c r="C110" t="str">
        <f>'Exp 2.2 - DBD_Freq_sweep'!C7</f>
        <v>SQUARE</v>
      </c>
      <c r="D110">
        <f>'Exp 2.2 - DBD_Freq_sweep'!D7</f>
        <v>3</v>
      </c>
      <c r="E110">
        <f>'Exp 2.2 - DBD_Freq_sweep'!E7</f>
        <v>5</v>
      </c>
      <c r="F110">
        <f>'Exp 2.2 - DBD_Freq_sweep'!G7</f>
        <v>100</v>
      </c>
      <c r="G110">
        <f>'Exp 2.2 - DBD_Freq_sweep'!H7</f>
        <v>2</v>
      </c>
      <c r="H110">
        <f>'Exp 2.2 - DBD_Freq_sweep'!I7</f>
        <v>1.9950000000000001</v>
      </c>
      <c r="I110">
        <f>'Exp 2.2 - DBD_Freq_sweep'!L7</f>
        <v>0.31</v>
      </c>
      <c r="J110">
        <f>'Exp 2.2 - DBD_Freq_sweep'!M7</f>
        <v>0.62</v>
      </c>
      <c r="K110">
        <f>'Exp 2.2 - DBD_Freq_sweep'!N7</f>
        <v>3.44</v>
      </c>
      <c r="L110">
        <f>'Exp 2.2 - DBD_Freq_sweep'!O7</f>
        <v>1.29</v>
      </c>
      <c r="M110">
        <f>'Exp 2.2 - DBD_Freq_sweep'!P7</f>
        <v>0.56999999999999995</v>
      </c>
      <c r="N110">
        <f>'Exp 2.2 - DBD_Freq_sweep'!S7</f>
        <v>0.73529999999999995</v>
      </c>
      <c r="O110">
        <f>'Exp 2.2 - DBD_Freq_sweep'!U7</f>
        <v>0.3939419095909511</v>
      </c>
      <c r="P110">
        <f>'Exp 2.2 - DBD_Freq_sweep'!V7</f>
        <v>0.29006489183734219</v>
      </c>
      <c r="Q110">
        <f>'Exp 2.2 - DBD_Freq_sweep'!X7</f>
        <v>0</v>
      </c>
      <c r="R110">
        <f t="shared" si="6"/>
        <v>46.784659973764867</v>
      </c>
      <c r="S110">
        <f>'Exp 2.2 - DBD_Freq_sweep'!AA7</f>
        <v>0.23874306425289715</v>
      </c>
      <c r="T110">
        <f>'Exp 2.2 - DBD_Freq_sweep'!AM7</f>
        <v>25</v>
      </c>
      <c r="U110">
        <f>'Exp 2.2 - DBD_Freq_sweep'!AO7</f>
        <v>0</v>
      </c>
      <c r="V110">
        <f>IF($L110="","",$L110*Equipment!$B$16/100)</f>
        <v>3.8699999999999998E-2</v>
      </c>
      <c r="W110">
        <f>IF($P110="","",$P110*Equipment!$B$19/100)</f>
        <v>1.7403893510240531E-2</v>
      </c>
      <c r="X110" t="str">
        <f t="shared" si="7"/>
        <v>ok</v>
      </c>
      <c r="Y110" t="str">
        <f>'Exp 2.2 - DBD_Freq_sweep'!AR7</f>
        <v>/</v>
      </c>
    </row>
    <row r="111" spans="1:25" x14ac:dyDescent="0.3">
      <c r="A111" t="s">
        <v>19</v>
      </c>
      <c r="B111" t="str">
        <f>'Exp 2.2 - DBD_Freq_sweep'!A8</f>
        <v>BLOCK 1</v>
      </c>
      <c r="C111" t="str">
        <f>'Exp 2.2 - DBD_Freq_sweep'!C8</f>
        <v>SQUARE</v>
      </c>
      <c r="D111">
        <f>'Exp 2.2 - DBD_Freq_sweep'!D8</f>
        <v>3</v>
      </c>
      <c r="E111">
        <f>'Exp 2.2 - DBD_Freq_sweep'!E8</f>
        <v>7.5</v>
      </c>
      <c r="F111">
        <f>'Exp 2.2 - DBD_Freq_sweep'!G8</f>
        <v>100</v>
      </c>
      <c r="G111">
        <f>'Exp 2.2 - DBD_Freq_sweep'!H8</f>
        <v>2</v>
      </c>
      <c r="H111">
        <f>'Exp 2.2 - DBD_Freq_sweep'!I8</f>
        <v>1.994</v>
      </c>
      <c r="I111">
        <f>'Exp 2.2 - DBD_Freq_sweep'!L8</f>
        <v>0.56000000000000005</v>
      </c>
      <c r="J111">
        <f>'Exp 2.2 - DBD_Freq_sweep'!M8</f>
        <v>1.1200000000000001</v>
      </c>
      <c r="K111">
        <f>'Exp 2.2 - DBD_Freq_sweep'!N8</f>
        <v>2.75</v>
      </c>
      <c r="L111">
        <f>'Exp 2.2 - DBD_Freq_sweep'!O8</f>
        <v>0.93100000000000005</v>
      </c>
      <c r="M111">
        <f>'Exp 2.2 - DBD_Freq_sweep'!P8</f>
        <v>0.77</v>
      </c>
      <c r="N111">
        <f>'Exp 2.2 - DBD_Freq_sweep'!S8</f>
        <v>0.71687000000000001</v>
      </c>
      <c r="O111">
        <f>'Exp 2.2 - DBD_Freq_sweep'!U8</f>
        <v>0.55484442744799933</v>
      </c>
      <c r="P111">
        <f>'Exp 2.2 - DBD_Freq_sweep'!V8</f>
        <v>0.39804837147405292</v>
      </c>
      <c r="Q111">
        <f>'Exp 2.2 - DBD_Freq_sweep'!X8</f>
        <v>0</v>
      </c>
      <c r="R111">
        <f t="shared" si="6"/>
        <v>35.54003316732615</v>
      </c>
      <c r="S111">
        <f>'Exp 2.2 - DBD_Freq_sweep'!AA8</f>
        <v>0.25351286735749001</v>
      </c>
      <c r="T111">
        <f>'Exp 2.2 - DBD_Freq_sweep'!AM8</f>
        <v>27</v>
      </c>
      <c r="U111">
        <f>'Exp 2.2 - DBD_Freq_sweep'!AO8</f>
        <v>0</v>
      </c>
      <c r="V111">
        <f>IF($L111="","",$L111*Equipment!$B$16/100)</f>
        <v>2.793E-2</v>
      </c>
      <c r="W111">
        <f>IF($P111="","",$P111*Equipment!$B$19/100)</f>
        <v>2.3882902288443173E-2</v>
      </c>
      <c r="X111" t="str">
        <f t="shared" si="7"/>
        <v>ok</v>
      </c>
      <c r="Y111" t="str">
        <f>'Exp 2.2 - DBD_Freq_sweep'!AR8</f>
        <v>/</v>
      </c>
    </row>
    <row r="112" spans="1:25" x14ac:dyDescent="0.3">
      <c r="A112" t="s">
        <v>19</v>
      </c>
      <c r="B112" t="str">
        <f>'Exp 2.2 - DBD_Freq_sweep'!A9</f>
        <v>BLOCK 1</v>
      </c>
      <c r="C112" t="str">
        <f>'Exp 2.2 - DBD_Freq_sweep'!C9</f>
        <v>SQUARE</v>
      </c>
      <c r="D112">
        <f>'Exp 2.2 - DBD_Freq_sweep'!D9</f>
        <v>3</v>
      </c>
      <c r="E112">
        <f>'Exp 2.2 - DBD_Freq_sweep'!E9</f>
        <v>10</v>
      </c>
      <c r="F112">
        <f>'Exp 2.2 - DBD_Freq_sweep'!G9</f>
        <v>100</v>
      </c>
      <c r="G112">
        <f>'Exp 2.2 - DBD_Freq_sweep'!H9</f>
        <v>2</v>
      </c>
      <c r="H112">
        <f>'Exp 2.2 - DBD_Freq_sweep'!I9</f>
        <v>1.998</v>
      </c>
      <c r="I112">
        <f>'Exp 2.2 - DBD_Freq_sweep'!L9</f>
        <v>0.59</v>
      </c>
      <c r="J112">
        <f>'Exp 2.2 - DBD_Freq_sweep'!M9</f>
        <v>1.18</v>
      </c>
      <c r="K112">
        <f>'Exp 2.2 - DBD_Freq_sweep'!N9</f>
        <v>1.84</v>
      </c>
      <c r="L112">
        <f>'Exp 2.2 - DBD_Freq_sweep'!O9</f>
        <v>0.61899999999999999</v>
      </c>
      <c r="M112">
        <f>'Exp 2.2 - DBD_Freq_sweep'!P9</f>
        <v>0.85399999999999998</v>
      </c>
      <c r="N112">
        <f>'Exp 2.2 - DBD_Freq_sweep'!S9</f>
        <v>0.52862599999999993</v>
      </c>
      <c r="O112">
        <f>'Exp 2.2 - DBD_Freq_sweep'!U9</f>
        <v>0.50904141575037121</v>
      </c>
      <c r="P112">
        <f>'Exp 2.2 - DBD_Freq_sweep'!V9</f>
        <v>0.2693316327811302</v>
      </c>
      <c r="Q112">
        <f>'Exp 2.2 - DBD_Freq_sweep'!X9</f>
        <v>0</v>
      </c>
      <c r="R112">
        <f t="shared" si="6"/>
        <v>22.824714642468663</v>
      </c>
      <c r="S112">
        <f>'Exp 2.2 - DBD_Freq_sweep'!AA9</f>
        <v>0.371243328008517</v>
      </c>
      <c r="T112">
        <f>'Exp 2.2 - DBD_Freq_sweep'!AM9</f>
        <v>27</v>
      </c>
      <c r="U112">
        <f>'Exp 2.2 - DBD_Freq_sweep'!AO9</f>
        <v>0</v>
      </c>
      <c r="V112">
        <f>IF($L112="","",$L112*Equipment!$B$16/100)</f>
        <v>1.857E-2</v>
      </c>
      <c r="W112">
        <f>IF($P112="","",$P112*Equipment!$B$19/100)</f>
        <v>1.6159897966867814E-2</v>
      </c>
      <c r="X112" t="str">
        <f t="shared" si="7"/>
        <v>ok</v>
      </c>
      <c r="Y112" t="str">
        <f>'Exp 2.2 - DBD_Freq_sweep'!AR9</f>
        <v>/</v>
      </c>
    </row>
    <row r="113" spans="1:25" x14ac:dyDescent="0.3">
      <c r="A113" t="s">
        <v>19</v>
      </c>
      <c r="B113" t="str">
        <f>'Exp 2.2 - DBD_Freq_sweep'!A10</f>
        <v>BLOCK 1</v>
      </c>
      <c r="C113" t="str">
        <f>'Exp 2.2 - DBD_Freq_sweep'!C10</f>
        <v>SQUARE</v>
      </c>
      <c r="D113">
        <f>'Exp 2.2 - DBD_Freq_sweep'!D10</f>
        <v>3</v>
      </c>
      <c r="E113">
        <f>'Exp 2.2 - DBD_Freq_sweep'!E10</f>
        <v>15</v>
      </c>
      <c r="F113">
        <f>'Exp 2.2 - DBD_Freq_sweep'!G10</f>
        <v>100</v>
      </c>
      <c r="G113">
        <f>'Exp 2.2 - DBD_Freq_sweep'!H10</f>
        <v>2</v>
      </c>
      <c r="H113">
        <f>'Exp 2.2 - DBD_Freq_sweep'!I10</f>
        <v>2</v>
      </c>
      <c r="I113">
        <f>'Exp 2.2 - DBD_Freq_sweep'!L10</f>
        <v>0.59</v>
      </c>
      <c r="J113">
        <f>'Exp 2.2 - DBD_Freq_sweep'!M10</f>
        <v>1.18</v>
      </c>
      <c r="K113">
        <f>'Exp 2.2 - DBD_Freq_sweep'!N10</f>
        <v>1.0900000000000001</v>
      </c>
      <c r="L113">
        <f>'Exp 2.2 - DBD_Freq_sweep'!O10</f>
        <v>0.38600000000000001</v>
      </c>
      <c r="M113">
        <f>'Exp 2.2 - DBD_Freq_sweep'!P10</f>
        <v>0.84399999999999997</v>
      </c>
      <c r="N113">
        <f>'Exp 2.2 - DBD_Freq_sweep'!S10</f>
        <v>0.32578400000000002</v>
      </c>
      <c r="O113">
        <f>'Exp 2.2 - DBD_Freq_sweep'!U10</f>
        <v>0.37460659341591218</v>
      </c>
      <c r="P113">
        <f>'Exp 2.2 - DBD_Freq_sweep'!V10</f>
        <v>0.12222255350900027</v>
      </c>
      <c r="Q113">
        <f>'Exp 2.2 - DBD_Freq_sweep'!X10</f>
        <v>0</v>
      </c>
      <c r="R113">
        <f t="shared" si="6"/>
        <v>10.357843517711887</v>
      </c>
      <c r="S113">
        <f>'Exp 2.2 - DBD_Freq_sweep'!AA10</f>
        <v>0.66542075592364536</v>
      </c>
      <c r="T113">
        <f>'Exp 2.2 - DBD_Freq_sweep'!AM10</f>
        <v>27</v>
      </c>
      <c r="U113">
        <f>'Exp 2.2 - DBD_Freq_sweep'!AO10</f>
        <v>0</v>
      </c>
      <c r="V113">
        <f>IF($L113="","",$L113*Equipment!$B$16/100)</f>
        <v>1.158E-2</v>
      </c>
      <c r="W113">
        <f>IF($P113="","",$P113*Equipment!$B$19/100)</f>
        <v>7.3333532105400168E-3</v>
      </c>
      <c r="X113" t="str">
        <f t="shared" si="7"/>
        <v>ok</v>
      </c>
      <c r="Y113" t="str">
        <f>'Exp 2.2 - DBD_Freq_sweep'!AR10</f>
        <v>/</v>
      </c>
    </row>
    <row r="114" spans="1:25" x14ac:dyDescent="0.3">
      <c r="A114" t="s">
        <v>19</v>
      </c>
      <c r="B114" t="str">
        <f>'Exp 2.2 - DBD_Freq_sweep'!A11</f>
        <v>BLOCK 1</v>
      </c>
      <c r="C114" t="str">
        <f>'Exp 2.2 - DBD_Freq_sweep'!C11</f>
        <v>SQUARE</v>
      </c>
      <c r="D114">
        <f>'Exp 2.2 - DBD_Freq_sweep'!D11</f>
        <v>3</v>
      </c>
      <c r="E114">
        <f>'Exp 2.2 - DBD_Freq_sweep'!E11</f>
        <v>20</v>
      </c>
      <c r="F114">
        <f>'Exp 2.2 - DBD_Freq_sweep'!G11</f>
        <v>100</v>
      </c>
      <c r="G114">
        <f>'Exp 2.2 - DBD_Freq_sweep'!H11</f>
        <v>2</v>
      </c>
      <c r="H114">
        <f>'Exp 2.2 - DBD_Freq_sweep'!I11</f>
        <v>2</v>
      </c>
      <c r="I114">
        <f>'Exp 2.2 - DBD_Freq_sweep'!L11</f>
        <v>0.57999999999999996</v>
      </c>
      <c r="J114">
        <f>'Exp 2.2 - DBD_Freq_sweep'!M11</f>
        <v>1.1599999999999999</v>
      </c>
      <c r="K114">
        <f>'Exp 2.2 - DBD_Freq_sweep'!N11</f>
        <v>0.91800000000000004</v>
      </c>
      <c r="L114">
        <f>'Exp 2.2 - DBD_Freq_sweep'!O11</f>
        <v>0.3</v>
      </c>
      <c r="M114">
        <f>'Exp 2.2 - DBD_Freq_sweep'!P11</f>
        <v>0.91200000000000003</v>
      </c>
      <c r="N114">
        <f>'Exp 2.2 - DBD_Freq_sweep'!S11</f>
        <v>0.27360000000000001</v>
      </c>
      <c r="O114">
        <f>'Exp 2.2 - DBD_Freq_sweep'!U11</f>
        <v>0.24022804247726379</v>
      </c>
      <c r="P114">
        <f>'Exp 2.2 - DBD_Freq_sweep'!V11</f>
        <v>6.5905208165974588E-2</v>
      </c>
      <c r="Q114">
        <f>'Exp 2.2 - DBD_Freq_sweep'!X11</f>
        <v>0</v>
      </c>
      <c r="R114">
        <f t="shared" si="6"/>
        <v>5.6814834625840165</v>
      </c>
      <c r="S114">
        <f>'Exp 2.2 - DBD_Freq_sweep'!AA11</f>
        <v>0.89101905157532157</v>
      </c>
      <c r="T114">
        <f>'Exp 2.2 - DBD_Freq_sweep'!AM11</f>
        <v>27</v>
      </c>
      <c r="U114">
        <f>'Exp 2.2 - DBD_Freq_sweep'!AO11</f>
        <v>0</v>
      </c>
      <c r="V114">
        <f>IF($L114="","",$L114*Equipment!$B$16/100)</f>
        <v>8.9999999999999993E-3</v>
      </c>
      <c r="W114">
        <f>IF($P114="","",$P114*Equipment!$B$19/100)</f>
        <v>3.9543124899584755E-3</v>
      </c>
      <c r="X114" t="str">
        <f t="shared" si="7"/>
        <v>ok</v>
      </c>
      <c r="Y114" t="str">
        <f>'Exp 2.2 - DBD_Freq_sweep'!AR11</f>
        <v>/</v>
      </c>
    </row>
    <row r="115" spans="1:25" x14ac:dyDescent="0.3">
      <c r="A115" t="s">
        <v>19</v>
      </c>
      <c r="B115" t="str">
        <f>'Exp 2.2 - DBD_Freq_sweep'!A12</f>
        <v>BLOCK 1</v>
      </c>
      <c r="C115" t="str">
        <f>'Exp 2.2 - DBD_Freq_sweep'!C12</f>
        <v>SQUARE</v>
      </c>
      <c r="D115">
        <f>'Exp 2.2 - DBD_Freq_sweep'!D12</f>
        <v>3</v>
      </c>
      <c r="E115">
        <f>'Exp 2.2 - DBD_Freq_sweep'!E12</f>
        <v>30</v>
      </c>
      <c r="F115">
        <f>'Exp 2.2 - DBD_Freq_sweep'!G12</f>
        <v>100</v>
      </c>
      <c r="G115">
        <f>'Exp 2.2 - DBD_Freq_sweep'!H12</f>
        <v>2</v>
      </c>
      <c r="H115">
        <f>'Exp 2.2 - DBD_Freq_sweep'!I12</f>
        <v>2.0099999999999998</v>
      </c>
      <c r="I115">
        <f>'Exp 2.2 - DBD_Freq_sweep'!L12</f>
        <v>0.56000000000000005</v>
      </c>
      <c r="J115">
        <f>'Exp 2.2 - DBD_Freq_sweep'!M12</f>
        <v>1.1200000000000001</v>
      </c>
      <c r="K115">
        <f>'Exp 2.2 - DBD_Freq_sweep'!N12</f>
        <v>0.46300000000000002</v>
      </c>
      <c r="L115">
        <f>'Exp 2.2 - DBD_Freq_sweep'!O12</f>
        <v>0.153</v>
      </c>
      <c r="M115">
        <f>'Exp 2.2 - DBD_Freq_sweep'!P12</f>
        <v>0.90100000000000002</v>
      </c>
      <c r="N115">
        <f>'Exp 2.2 - DBD_Freq_sweep'!S12</f>
        <v>0.137853</v>
      </c>
      <c r="O115">
        <f>'Exp 2.2 - DBD_Freq_sweep'!U12</f>
        <v>0.15643446504023092</v>
      </c>
      <c r="P115">
        <f>'Exp 2.2 - DBD_Freq_sweep'!V12</f>
        <v>2.1662536823634889E-2</v>
      </c>
      <c r="Q115">
        <f>'Exp 2.2 - DBD_Freq_sweep'!X12</f>
        <v>0</v>
      </c>
      <c r="R115">
        <f t="shared" si="6"/>
        <v>1.9341550735388291</v>
      </c>
      <c r="S115">
        <f>'Exp 2.2 - DBD_Freq_sweep'!AA12</f>
        <v>0.41410094401816416</v>
      </c>
      <c r="T115">
        <f>'Exp 2.2 - DBD_Freq_sweep'!AM12</f>
        <v>27</v>
      </c>
      <c r="U115">
        <f>'Exp 2.2 - DBD_Freq_sweep'!AO12</f>
        <v>0</v>
      </c>
      <c r="V115">
        <f>IF($L115="","",$L115*Equipment!$B$16/100)</f>
        <v>4.5899999999999995E-3</v>
      </c>
      <c r="W115">
        <f>IF($P115="","",$P115*Equipment!$B$19/100)</f>
        <v>1.2997522094180933E-3</v>
      </c>
      <c r="X115" t="str">
        <f t="shared" si="7"/>
        <v>ok</v>
      </c>
      <c r="Y115" t="str">
        <f>'Exp 2.2 - DBD_Freq_sweep'!AR12</f>
        <v>/</v>
      </c>
    </row>
    <row r="116" spans="1:25" x14ac:dyDescent="0.3">
      <c r="A116" t="s">
        <v>19</v>
      </c>
      <c r="B116" t="str">
        <f>'Exp 2.2 - DBD_Freq_sweep'!A13</f>
        <v>BLOCK 1</v>
      </c>
      <c r="C116" t="str">
        <f>'Exp 2.2 - DBD_Freq_sweep'!C13</f>
        <v>SQUARE</v>
      </c>
      <c r="D116">
        <f>'Exp 2.2 - DBD_Freq_sweep'!D13</f>
        <v>3</v>
      </c>
      <c r="E116">
        <f>'Exp 2.2 - DBD_Freq_sweep'!E13</f>
        <v>40</v>
      </c>
      <c r="F116">
        <f>'Exp 2.2 - DBD_Freq_sweep'!G13</f>
        <v>100</v>
      </c>
      <c r="G116">
        <f>'Exp 2.2 - DBD_Freq_sweep'!H13</f>
        <v>2</v>
      </c>
      <c r="H116">
        <f>'Exp 2.2 - DBD_Freq_sweep'!I13</f>
        <v>2.02</v>
      </c>
      <c r="I116">
        <f>'Exp 2.2 - DBD_Freq_sweep'!L13</f>
        <v>0.54</v>
      </c>
      <c r="J116">
        <f>'Exp 2.2 - DBD_Freq_sweep'!M13</f>
        <v>1.08</v>
      </c>
      <c r="K116">
        <f>'Exp 2.2 - DBD_Freq_sweep'!N13</f>
        <v>0.314</v>
      </c>
      <c r="L116">
        <f>'Exp 2.2 - DBD_Freq_sweep'!O13</f>
        <v>0.112</v>
      </c>
      <c r="M116">
        <f>'Exp 2.2 - DBD_Freq_sweep'!P13</f>
        <v>0.86499999999999999</v>
      </c>
      <c r="N116">
        <f>'Exp 2.2 - DBD_Freq_sweep'!S13</f>
        <v>9.6880000000000008E-2</v>
      </c>
      <c r="O116">
        <f>'Exp 2.2 - DBD_Freq_sweep'!U13</f>
        <v>5.2335956242943966E-2</v>
      </c>
      <c r="P116">
        <f>'Exp 2.2 - DBD_Freq_sweep'!V13</f>
        <v>5.1447802618943871E-3</v>
      </c>
      <c r="Q116">
        <f>'Exp 2.2 - DBD_Freq_sweep'!X13</f>
        <v>0</v>
      </c>
      <c r="R116">
        <f t="shared" si="6"/>
        <v>0.47636854276799878</v>
      </c>
      <c r="S116">
        <f>'Exp 2.2 - DBD_Freq_sweep'!AA13</f>
        <v>0.43602935092981787</v>
      </c>
      <c r="T116">
        <f>'Exp 2.2 - DBD_Freq_sweep'!AM13</f>
        <v>27</v>
      </c>
      <c r="U116">
        <f>'Exp 2.2 - DBD_Freq_sweep'!AO13</f>
        <v>0</v>
      </c>
      <c r="V116">
        <f>IF($L116="","",$L116*Equipment!$B$16/100)</f>
        <v>3.3600000000000001E-3</v>
      </c>
      <c r="W116">
        <f>IF($P116="","",$P116*Equipment!$B$19/100)</f>
        <v>3.0868681571366325E-4</v>
      </c>
      <c r="X116" t="str">
        <f t="shared" si="7"/>
        <v>ok</v>
      </c>
      <c r="Y116" t="str">
        <f>'Exp 2.2 - DBD_Freq_sweep'!AR13</f>
        <v>/</v>
      </c>
    </row>
    <row r="117" spans="1:25" x14ac:dyDescent="0.3">
      <c r="A117" t="s">
        <v>19</v>
      </c>
      <c r="B117" t="str">
        <f>'Exp 2.2 - DBD_Freq_sweep'!A14</f>
        <v>BLOCK 1</v>
      </c>
      <c r="C117" t="str">
        <f>'Exp 2.2 - DBD_Freq_sweep'!C14</f>
        <v>SQUARE</v>
      </c>
      <c r="D117">
        <f>'Exp 2.2 - DBD_Freq_sweep'!D14</f>
        <v>3</v>
      </c>
      <c r="E117">
        <f>'Exp 2.2 - DBD_Freq_sweep'!E14</f>
        <v>50</v>
      </c>
      <c r="F117">
        <f>'Exp 2.2 - DBD_Freq_sweep'!G14</f>
        <v>100</v>
      </c>
      <c r="G117">
        <f>'Exp 2.2 - DBD_Freq_sweep'!H14</f>
        <v>2</v>
      </c>
      <c r="H117">
        <f>'Exp 2.2 - DBD_Freq_sweep'!I14</f>
        <v>2.0299999999999998</v>
      </c>
      <c r="I117">
        <f>'Exp 2.2 - DBD_Freq_sweep'!L14</f>
        <v>0.52</v>
      </c>
      <c r="J117">
        <f>'Exp 2.2 - DBD_Freq_sweep'!M14</f>
        <v>1.04</v>
      </c>
      <c r="K117">
        <f>'Exp 2.2 - DBD_Freq_sweep'!N14</f>
        <v>0.25700000000000001</v>
      </c>
      <c r="L117">
        <f>'Exp 2.2 - DBD_Freq_sweep'!O14</f>
        <v>9.0999999999999998E-2</v>
      </c>
      <c r="M117">
        <f>'Exp 2.2 - DBD_Freq_sweep'!P14</f>
        <v>0.88400000000000001</v>
      </c>
      <c r="N117">
        <f>'Exp 2.2 - DBD_Freq_sweep'!S14</f>
        <v>8.0444000000000002E-2</v>
      </c>
      <c r="O117">
        <f>'Exp 2.2 - DBD_Freq_sweep'!U14</f>
        <v>-1.7452406437283477E-2</v>
      </c>
      <c r="P117">
        <f>'Exp 2.2 - DBD_Freq_sweep'!V14</f>
        <v>-1.3391793130833564E-3</v>
      </c>
      <c r="Q117">
        <f>'Exp 2.2 - DBD_Freq_sweep'!X14</f>
        <v>0</v>
      </c>
      <c r="R117">
        <f t="shared" si="6"/>
        <v>-0.12876724164263043</v>
      </c>
      <c r="S117">
        <f>'Exp 2.2 - DBD_Freq_sweep'!AA14</f>
        <v>0.56211653952340557</v>
      </c>
      <c r="T117">
        <f>'Exp 2.2 - DBD_Freq_sweep'!AM14</f>
        <v>27</v>
      </c>
      <c r="U117">
        <f>'Exp 2.2 - DBD_Freq_sweep'!AO14</f>
        <v>0</v>
      </c>
      <c r="V117">
        <f>IF($L117="","",$L117*Equipment!$B$16/100)</f>
        <v>2.7300000000000002E-3</v>
      </c>
      <c r="W117">
        <f>IF($P117="","",$P117*Equipment!$B$19/100)</f>
        <v>-8.0350758785001385E-5</v>
      </c>
      <c r="X117" t="str">
        <f t="shared" si="7"/>
        <v>ok</v>
      </c>
      <c r="Y117" t="str">
        <f>'Exp 2.2 - DBD_Freq_sweep'!AR14</f>
        <v>/</v>
      </c>
    </row>
    <row r="118" spans="1:25" x14ac:dyDescent="0.3">
      <c r="A118" t="s">
        <v>19</v>
      </c>
      <c r="B118" t="str">
        <f>'Exp 2.2 - DBD_Freq_sweep'!A15</f>
        <v>BLOCK 1</v>
      </c>
      <c r="C118" t="str">
        <f>'Exp 2.2 - DBD_Freq_sweep'!C15</f>
        <v>SQUARE</v>
      </c>
      <c r="D118">
        <f>'Exp 2.2 - DBD_Freq_sweep'!D15</f>
        <v>3</v>
      </c>
      <c r="E118">
        <f>'Exp 2.2 - DBD_Freq_sweep'!E15</f>
        <v>60</v>
      </c>
      <c r="F118">
        <f>'Exp 2.2 - DBD_Freq_sweep'!G15</f>
        <v>100</v>
      </c>
      <c r="G118">
        <f>'Exp 2.2 - DBD_Freq_sweep'!H15</f>
        <v>2</v>
      </c>
      <c r="H118">
        <f>'Exp 2.2 - DBD_Freq_sweep'!I15</f>
        <v>2.04</v>
      </c>
      <c r="I118">
        <f>'Exp 2.2 - DBD_Freq_sweep'!L15</f>
        <v>0.49</v>
      </c>
      <c r="J118">
        <f>'Exp 2.2 - DBD_Freq_sweep'!M15</f>
        <v>0.98</v>
      </c>
      <c r="K118">
        <f>'Exp 2.2 - DBD_Freq_sweep'!N15</f>
        <v>0.24199999999999999</v>
      </c>
      <c r="L118">
        <f>'Exp 2.2 - DBD_Freq_sweep'!O15</f>
        <v>7.8E-2</v>
      </c>
      <c r="M118">
        <f>'Exp 2.2 - DBD_Freq_sweep'!P15</f>
        <v>0.79900000000000004</v>
      </c>
      <c r="N118">
        <f>'Exp 2.2 - DBD_Freq_sweep'!S15</f>
        <v>6.2322000000000002E-2</v>
      </c>
      <c r="O118">
        <f>'Exp 2.2 - DBD_Freq_sweep'!U15</f>
        <v>-8.367784333231533E-2</v>
      </c>
      <c r="P118">
        <f>'Exp 2.2 - DBD_Freq_sweep'!V15</f>
        <v>-5.1628765200030782E-3</v>
      </c>
      <c r="Q118">
        <f>'Exp 2.2 - DBD_Freq_sweep'!X15</f>
        <v>0</v>
      </c>
      <c r="R118">
        <f t="shared" si="6"/>
        <v>-0.52682413469419165</v>
      </c>
      <c r="S118">
        <f>'Exp 2.2 - DBD_Freq_sweep'!AA15</f>
        <v>0.73992774735280409</v>
      </c>
      <c r="T118">
        <f>'Exp 2.2 - DBD_Freq_sweep'!AM15</f>
        <v>27</v>
      </c>
      <c r="U118">
        <f>'Exp 2.2 - DBD_Freq_sweep'!AO15</f>
        <v>0</v>
      </c>
      <c r="V118">
        <f>IF($L118="","",$L118*Equipment!$B$16/100)</f>
        <v>2.3400000000000001E-3</v>
      </c>
      <c r="W118">
        <f>IF($P118="","",$P118*Equipment!$B$19/100)</f>
        <v>-3.0977259120018466E-4</v>
      </c>
      <c r="X118" t="str">
        <f t="shared" si="7"/>
        <v>ok</v>
      </c>
      <c r="Y118" t="str">
        <f>'Exp 2.2 - DBD_Freq_sweep'!AR15</f>
        <v>/</v>
      </c>
    </row>
    <row r="119" spans="1:25" x14ac:dyDescent="0.3">
      <c r="A119" t="s">
        <v>19</v>
      </c>
      <c r="B119" t="str">
        <f>'Exp 2.2 - DBD_Freq_sweep'!A17</f>
        <v>BLOCK 2</v>
      </c>
      <c r="C119" t="str">
        <f>'Exp 2.2 - DBD_Freq_sweep'!C17</f>
        <v>SQUARE</v>
      </c>
      <c r="D119">
        <f>'Exp 2.2 - DBD_Freq_sweep'!D17</f>
        <v>3</v>
      </c>
      <c r="E119">
        <f>'Exp 2.2 - DBD_Freq_sweep'!E17</f>
        <v>2</v>
      </c>
      <c r="F119">
        <f>'Exp 2.2 - DBD_Freq_sweep'!G17</f>
        <v>100</v>
      </c>
      <c r="G119">
        <f>'Exp 2.2 - DBD_Freq_sweep'!H17</f>
        <v>4</v>
      </c>
      <c r="H119">
        <f>'Exp 2.2 - DBD_Freq_sweep'!I17</f>
        <v>0</v>
      </c>
      <c r="I119">
        <f>'Exp 2.2 - DBD_Freq_sweep'!L17</f>
        <v>1.43</v>
      </c>
      <c r="J119">
        <f>'Exp 2.2 - DBD_Freq_sweep'!M17</f>
        <v>5.72</v>
      </c>
      <c r="K119">
        <f>'Exp 2.2 - DBD_Freq_sweep'!N17</f>
        <v>6.16</v>
      </c>
      <c r="L119">
        <f>'Exp 2.2 - DBD_Freq_sweep'!O17</f>
        <v>1.57</v>
      </c>
      <c r="M119">
        <f>'Exp 2.2 - DBD_Freq_sweep'!P17</f>
        <v>0</v>
      </c>
      <c r="N119">
        <f>'Exp 2.2 - DBD_Freq_sweep'!S17</f>
        <v>0</v>
      </c>
      <c r="O119">
        <f>'Exp 2.2 - DBD_Freq_sweep'!U17</f>
        <v>8.7265354983738965E-3</v>
      </c>
      <c r="P119">
        <f>'Exp 2.2 - DBD_Freq_sweep'!V17</f>
        <v>0</v>
      </c>
      <c r="Q119">
        <f>'Exp 2.2 - DBD_Freq_sweep'!X17</f>
        <v>0.56699999999999995</v>
      </c>
      <c r="R119">
        <f t="shared" si="6"/>
        <v>0</v>
      </c>
      <c r="S119">
        <f>'Exp 2.2 - DBD_Freq_sweep'!AA17</f>
        <v>0.72884039405071399</v>
      </c>
      <c r="T119">
        <f>'Exp 2.2 - DBD_Freq_sweep'!AM17</f>
        <v>54</v>
      </c>
      <c r="U119">
        <f>'Exp 2.2 - DBD_Freq_sweep'!AO17</f>
        <v>0</v>
      </c>
      <c r="V119">
        <f>IF($L119="","",$L119*Equipment!$B$16/100)</f>
        <v>4.7100000000000003E-2</v>
      </c>
      <c r="W119">
        <f>IF($P119="","",$P119*Equipment!$B$19/100)</f>
        <v>0</v>
      </c>
      <c r="X119" t="str">
        <f t="shared" si="7"/>
        <v>ok</v>
      </c>
      <c r="Y119" t="str">
        <f>'Exp 2.2 - DBD_Freq_sweep'!AR17</f>
        <v>/</v>
      </c>
    </row>
    <row r="120" spans="1:25" x14ac:dyDescent="0.3">
      <c r="A120" t="s">
        <v>19</v>
      </c>
      <c r="B120" t="str">
        <f>'Exp 2.2 - DBD_Freq_sweep'!A18</f>
        <v>BLOCK 2</v>
      </c>
      <c r="C120" t="str">
        <f>'Exp 2.2 - DBD_Freq_sweep'!C18</f>
        <v>SQUARE</v>
      </c>
      <c r="D120">
        <f>'Exp 2.2 - DBD_Freq_sweep'!D18</f>
        <v>3</v>
      </c>
      <c r="E120">
        <f>'Exp 2.2 - DBD_Freq_sweep'!E18</f>
        <v>4</v>
      </c>
      <c r="F120">
        <f>'Exp 2.2 - DBD_Freq_sweep'!G18</f>
        <v>100</v>
      </c>
      <c r="G120">
        <f>'Exp 2.2 - DBD_Freq_sweep'!H18</f>
        <v>4</v>
      </c>
      <c r="H120">
        <f>'Exp 2.2 - DBD_Freq_sweep'!I18</f>
        <v>0</v>
      </c>
      <c r="I120">
        <f>'Exp 2.2 - DBD_Freq_sweep'!L18</f>
        <v>0.85</v>
      </c>
      <c r="J120">
        <f>'Exp 2.2 - DBD_Freq_sweep'!M18</f>
        <v>3.4</v>
      </c>
      <c r="K120">
        <f>'Exp 2.2 - DBD_Freq_sweep'!N18</f>
        <v>5.13</v>
      </c>
      <c r="L120">
        <f>'Exp 2.2 - DBD_Freq_sweep'!O18</f>
        <v>1.77</v>
      </c>
      <c r="M120">
        <f>'Exp 2.2 - DBD_Freq_sweep'!P18</f>
        <v>0</v>
      </c>
      <c r="N120">
        <f>'Exp 2.2 - DBD_Freq_sweep'!S18</f>
        <v>0</v>
      </c>
      <c r="O120">
        <f>'Exp 2.2 - DBD_Freq_sweep'!U18</f>
        <v>0.22495105434386514</v>
      </c>
      <c r="P120">
        <f>'Exp 2.2 - DBD_Freq_sweep'!V18</f>
        <v>0</v>
      </c>
      <c r="Q120">
        <f>'Exp 2.2 - DBD_Freq_sweep'!X18</f>
        <v>0.32500000000000001</v>
      </c>
      <c r="R120">
        <f t="shared" si="6"/>
        <v>0</v>
      </c>
      <c r="S120">
        <f>'Exp 2.2 - DBD_Freq_sweep'!AA18</f>
        <v>0.17069924645276843</v>
      </c>
      <c r="T120">
        <f>'Exp 2.2 - DBD_Freq_sweep'!AM18</f>
        <v>40</v>
      </c>
      <c r="U120">
        <f>'Exp 2.2 - DBD_Freq_sweep'!AO18</f>
        <v>0</v>
      </c>
      <c r="V120">
        <f>IF($L120="","",$L120*Equipment!$B$16/100)</f>
        <v>5.3100000000000008E-2</v>
      </c>
      <c r="W120">
        <f>IF($P120="","",$P120*Equipment!$B$19/100)</f>
        <v>0</v>
      </c>
      <c r="X120" t="str">
        <f t="shared" si="7"/>
        <v>ok</v>
      </c>
      <c r="Y120" t="str">
        <f>'Exp 2.2 - DBD_Freq_sweep'!AR18</f>
        <v>/</v>
      </c>
    </row>
    <row r="121" spans="1:25" x14ac:dyDescent="0.3">
      <c r="A121" t="s">
        <v>19</v>
      </c>
      <c r="B121" t="str">
        <f>'Exp 2.2 - DBD_Freq_sweep'!A19</f>
        <v>BLOCK 2</v>
      </c>
      <c r="C121" t="str">
        <f>'Exp 2.2 - DBD_Freq_sweep'!C19</f>
        <v>SQUARE</v>
      </c>
      <c r="D121">
        <f>'Exp 2.2 - DBD_Freq_sweep'!D19</f>
        <v>3</v>
      </c>
      <c r="E121">
        <f>'Exp 2.2 - DBD_Freq_sweep'!E19</f>
        <v>5</v>
      </c>
      <c r="F121">
        <f>'Exp 2.2 - DBD_Freq_sweep'!G19</f>
        <v>100</v>
      </c>
      <c r="G121">
        <f>'Exp 2.2 - DBD_Freq_sweep'!H19</f>
        <v>4</v>
      </c>
      <c r="H121">
        <f>'Exp 2.2 - DBD_Freq_sweep'!I19</f>
        <v>0</v>
      </c>
      <c r="I121">
        <f>'Exp 2.2 - DBD_Freq_sweep'!L19</f>
        <v>0.55000000000000004</v>
      </c>
      <c r="J121">
        <f>'Exp 2.2 - DBD_Freq_sweep'!M19</f>
        <v>2.2000000000000002</v>
      </c>
      <c r="K121">
        <f>'Exp 2.2 - DBD_Freq_sweep'!N19</f>
        <v>5.13</v>
      </c>
      <c r="L121">
        <f>'Exp 2.2 - DBD_Freq_sweep'!O19</f>
        <v>1.89</v>
      </c>
      <c r="M121">
        <f>'Exp 2.2 - DBD_Freq_sweep'!P19</f>
        <v>0.91200000000000003</v>
      </c>
      <c r="N121">
        <f>'Exp 2.2 - DBD_Freq_sweep'!S19</f>
        <v>1.7236799999999999</v>
      </c>
      <c r="O121">
        <f>'Exp 2.2 - DBD_Freq_sweep'!U19</f>
        <v>6.9756473744125233E-2</v>
      </c>
      <c r="P121">
        <f>'Exp 2.2 - DBD_Freq_sweep'!V19</f>
        <v>0.12154621628348651</v>
      </c>
      <c r="Q121">
        <f>'Exp 2.2 - DBD_Freq_sweep'!X19</f>
        <v>0.12</v>
      </c>
      <c r="R121">
        <f t="shared" si="6"/>
        <v>5.5248280128857497</v>
      </c>
      <c r="S121">
        <f>'Exp 2.2 - DBD_Freq_sweep'!AA19</f>
        <v>9.4861254798835087E-2</v>
      </c>
      <c r="T121">
        <f>'Exp 2.2 - DBD_Freq_sweep'!AM19</f>
        <v>31</v>
      </c>
      <c r="U121">
        <f>'Exp 2.2 - DBD_Freq_sweep'!AO19</f>
        <v>1</v>
      </c>
      <c r="V121">
        <f>IF($L121="","",$L121*Equipment!$B$16/100)</f>
        <v>5.67E-2</v>
      </c>
      <c r="W121">
        <f>IF($P121="","",$P121*Equipment!$B$19/100)</f>
        <v>7.2927729770091909E-3</v>
      </c>
      <c r="X121" t="str">
        <f t="shared" si="7"/>
        <v>ok</v>
      </c>
      <c r="Y121" t="str">
        <f>'Exp 2.2 - DBD_Freq_sweep'!AR19</f>
        <v>/</v>
      </c>
    </row>
    <row r="122" spans="1:25" x14ac:dyDescent="0.3">
      <c r="A122" t="s">
        <v>19</v>
      </c>
      <c r="B122" t="str">
        <f>'Exp 2.2 - DBD_Freq_sweep'!A20</f>
        <v>BLOCK 2</v>
      </c>
      <c r="C122" t="str">
        <f>'Exp 2.2 - DBD_Freq_sweep'!C20</f>
        <v>SQUARE</v>
      </c>
      <c r="D122">
        <f>'Exp 2.2 - DBD_Freq_sweep'!D20</f>
        <v>3</v>
      </c>
      <c r="E122">
        <f>'Exp 2.2 - DBD_Freq_sweep'!E20</f>
        <v>7.5</v>
      </c>
      <c r="F122">
        <f>'Exp 2.2 - DBD_Freq_sweep'!G20</f>
        <v>100</v>
      </c>
      <c r="G122">
        <f>'Exp 2.2 - DBD_Freq_sweep'!H20</f>
        <v>4</v>
      </c>
      <c r="H122">
        <f>'Exp 2.2 - DBD_Freq_sweep'!I20</f>
        <v>0</v>
      </c>
      <c r="I122">
        <f>'Exp 2.2 - DBD_Freq_sweep'!L20</f>
        <v>0.92</v>
      </c>
      <c r="J122">
        <f>'Exp 2.2 - DBD_Freq_sweep'!M20</f>
        <v>3.68</v>
      </c>
      <c r="K122">
        <f>'Exp 2.2 - DBD_Freq_sweep'!N20</f>
        <v>4.26</v>
      </c>
      <c r="L122">
        <f>'Exp 2.2 - DBD_Freq_sweep'!O20</f>
        <v>1.48</v>
      </c>
      <c r="M122">
        <f>'Exp 2.2 - DBD_Freq_sweep'!P20</f>
        <v>1.45</v>
      </c>
      <c r="N122">
        <f>'Exp 2.2 - DBD_Freq_sweep'!S20</f>
        <v>2.1459999999999999</v>
      </c>
      <c r="O122">
        <f>'Exp 2.2 - DBD_Freq_sweep'!U20</f>
        <v>0.25881904510252074</v>
      </c>
      <c r="P122">
        <f>'Exp 2.2 - DBD_Freq_sweep'!V20</f>
        <v>0.55680112118933733</v>
      </c>
      <c r="Q122">
        <f>'Exp 2.2 - DBD_Freq_sweep'!X20</f>
        <v>0</v>
      </c>
      <c r="R122">
        <f t="shared" si="6"/>
        <v>15.130465249710253</v>
      </c>
      <c r="S122">
        <f>'Exp 2.2 - DBD_Freq_sweep'!AA20</f>
        <v>0.14059293253147795</v>
      </c>
      <c r="T122">
        <f>'Exp 2.2 - DBD_Freq_sweep'!AM20</f>
        <v>40</v>
      </c>
      <c r="U122">
        <f>'Exp 2.2 - DBD_Freq_sweep'!AO20</f>
        <v>1</v>
      </c>
      <c r="V122">
        <f>IF($L122="","",$L122*Equipment!$B$16/100)</f>
        <v>4.4399999999999995E-2</v>
      </c>
      <c r="W122">
        <f>IF($P122="","",$P122*Equipment!$B$19/100)</f>
        <v>3.3408067271360239E-2</v>
      </c>
      <c r="X122" t="str">
        <f t="shared" si="7"/>
        <v>ok</v>
      </c>
      <c r="Y122" t="str">
        <f>'Exp 2.2 - DBD_Freq_sweep'!AR20</f>
        <v>/</v>
      </c>
    </row>
    <row r="123" spans="1:25" x14ac:dyDescent="0.3">
      <c r="A123" t="s">
        <v>19</v>
      </c>
      <c r="B123" t="str">
        <f>'Exp 2.2 - DBD_Freq_sweep'!A21</f>
        <v>BLOCK 2</v>
      </c>
      <c r="C123" t="str">
        <f>'Exp 2.2 - DBD_Freq_sweep'!C21</f>
        <v>SQUARE</v>
      </c>
      <c r="D123">
        <f>'Exp 2.2 - DBD_Freq_sweep'!D21</f>
        <v>3</v>
      </c>
      <c r="E123">
        <f>'Exp 2.2 - DBD_Freq_sweep'!E21</f>
        <v>10</v>
      </c>
      <c r="F123">
        <f>'Exp 2.2 - DBD_Freq_sweep'!G21</f>
        <v>100</v>
      </c>
      <c r="G123">
        <f>'Exp 2.2 - DBD_Freq_sweep'!H21</f>
        <v>4</v>
      </c>
      <c r="H123">
        <f>'Exp 2.2 - DBD_Freq_sweep'!I21</f>
        <v>0</v>
      </c>
      <c r="I123">
        <f>'Exp 2.2 - DBD_Freq_sweep'!L21</f>
        <v>1.49</v>
      </c>
      <c r="J123">
        <f>'Exp 2.2 - DBD_Freq_sweep'!M21</f>
        <v>5.96</v>
      </c>
      <c r="K123">
        <f>'Exp 2.2 - DBD_Freq_sweep'!N21</f>
        <v>4.26</v>
      </c>
      <c r="L123">
        <f>'Exp 2.2 - DBD_Freq_sweep'!O21</f>
        <v>1.39</v>
      </c>
      <c r="M123">
        <f>'Exp 2.2 - DBD_Freq_sweep'!P21</f>
        <v>2.37</v>
      </c>
      <c r="N123">
        <f>'Exp 2.2 - DBD_Freq_sweep'!S21</f>
        <v>3.2942999999999998</v>
      </c>
      <c r="O123">
        <f>'Exp 2.2 - DBD_Freq_sweep'!U21</f>
        <v>0.27563735581699916</v>
      </c>
      <c r="P123">
        <f>'Exp 2.2 - DBD_Freq_sweep'!V21</f>
        <v>0.91010535711919882</v>
      </c>
      <c r="Q123">
        <f>'Exp 2.2 - DBD_Freq_sweep'!X21</f>
        <v>0.90300000000000002</v>
      </c>
      <c r="R123">
        <f t="shared" si="6"/>
        <v>15.270224112738234</v>
      </c>
      <c r="S123">
        <f>'Exp 2.2 - DBD_Freq_sweep'!AA21</f>
        <v>0.15289228116097112</v>
      </c>
      <c r="T123">
        <f>'Exp 2.2 - DBD_Freq_sweep'!AM21</f>
        <v>53</v>
      </c>
      <c r="U123">
        <f>'Exp 2.2 - DBD_Freq_sweep'!AO21</f>
        <v>1</v>
      </c>
      <c r="V123">
        <f>IF($L123="","",$L123*Equipment!$B$16/100)</f>
        <v>4.1700000000000001E-2</v>
      </c>
      <c r="W123">
        <f>IF($P123="","",$P123*Equipment!$B$19/100)</f>
        <v>5.4606321427151931E-2</v>
      </c>
      <c r="X123" t="str">
        <f t="shared" si="7"/>
        <v>ok</v>
      </c>
      <c r="Y123" t="str">
        <f>'Exp 2.2 - DBD_Freq_sweep'!AR21</f>
        <v>/</v>
      </c>
    </row>
    <row r="124" spans="1:25" x14ac:dyDescent="0.3">
      <c r="A124" t="s">
        <v>19</v>
      </c>
      <c r="B124" t="str">
        <f>'Exp 2.2 - DBD_Freq_sweep'!A22</f>
        <v>BLOCK 2</v>
      </c>
      <c r="C124" t="str">
        <f>'Exp 2.2 - DBD_Freq_sweep'!C22</f>
        <v>SQUARE</v>
      </c>
      <c r="D124">
        <f>'Exp 2.2 - DBD_Freq_sweep'!D22</f>
        <v>3</v>
      </c>
      <c r="E124">
        <f>'Exp 2.2 - DBD_Freq_sweep'!E22</f>
        <v>15</v>
      </c>
      <c r="F124">
        <f>'Exp 2.2 - DBD_Freq_sweep'!G22</f>
        <v>100</v>
      </c>
      <c r="G124">
        <f>'Exp 2.2 - DBD_Freq_sweep'!H22</f>
        <v>4</v>
      </c>
      <c r="H124">
        <f>'Exp 2.2 - DBD_Freq_sweep'!I22</f>
        <v>0</v>
      </c>
      <c r="I124">
        <f>'Exp 2.2 - DBD_Freq_sweep'!L22</f>
        <v>2.39</v>
      </c>
      <c r="J124">
        <f>'Exp 2.2 - DBD_Freq_sweep'!M22</f>
        <v>9.56</v>
      </c>
      <c r="K124">
        <f>'Exp 2.2 - DBD_Freq_sweep'!N22</f>
        <v>4.18</v>
      </c>
      <c r="L124">
        <f>'Exp 2.2 - DBD_Freq_sweep'!O22</f>
        <v>1.36</v>
      </c>
      <c r="M124">
        <f>'Exp 2.2 - DBD_Freq_sweep'!P22</f>
        <v>4.2300000000000004</v>
      </c>
      <c r="N124">
        <f>'Exp 2.2 - DBD_Freq_sweep'!S22</f>
        <v>5.7528000000000006</v>
      </c>
      <c r="O124">
        <f>'Exp 2.2 - DBD_Freq_sweep'!U22</f>
        <v>0.17708474031958338</v>
      </c>
      <c r="P124">
        <f>'Exp 2.2 - DBD_Freq_sweep'!V22</f>
        <v>1.0227305601733034</v>
      </c>
      <c r="Q124">
        <f>'Exp 2.2 - DBD_Freq_sweep'!X22</f>
        <v>1.04</v>
      </c>
      <c r="R124">
        <f t="shared" si="6"/>
        <v>10.698018411854637</v>
      </c>
      <c r="S124">
        <f>'Exp 2.2 - DBD_Freq_sweep'!AA22</f>
        <v>0.18310932395707083</v>
      </c>
      <c r="T124">
        <f>'Exp 2.2 - DBD_Freq_sweep'!AM22</f>
        <v>74</v>
      </c>
      <c r="U124">
        <f>'Exp 2.2 - DBD_Freq_sweep'!AO22</f>
        <v>1</v>
      </c>
      <c r="V124">
        <f>IF($L124="","",$L124*Equipment!$B$16/100)</f>
        <v>4.0800000000000003E-2</v>
      </c>
      <c r="W124">
        <f>IF($P124="","",$P124*Equipment!$B$19/100)</f>
        <v>6.1363833610398204E-2</v>
      </c>
      <c r="X124" t="str">
        <f t="shared" si="7"/>
        <v>ok</v>
      </c>
      <c r="Y124" t="str">
        <f>'Exp 2.2 - DBD_Freq_sweep'!AR22</f>
        <v>/</v>
      </c>
    </row>
    <row r="125" spans="1:25" x14ac:dyDescent="0.3">
      <c r="A125" t="s">
        <v>19</v>
      </c>
      <c r="B125" t="str">
        <f>'Exp 2.2 - DBD_Freq_sweep'!A23</f>
        <v>BLOCK 2</v>
      </c>
      <c r="C125" t="str">
        <f>'Exp 2.2 - DBD_Freq_sweep'!C23</f>
        <v>SQUARE</v>
      </c>
      <c r="D125">
        <f>'Exp 2.2 - DBD_Freq_sweep'!D23</f>
        <v>3</v>
      </c>
      <c r="E125">
        <f>'Exp 2.2 - DBD_Freq_sweep'!E23</f>
        <v>20</v>
      </c>
      <c r="F125">
        <f>'Exp 2.2 - DBD_Freq_sweep'!G23</f>
        <v>100</v>
      </c>
      <c r="G125">
        <f>'Exp 2.2 - DBD_Freq_sweep'!H23</f>
        <v>4</v>
      </c>
      <c r="H125">
        <f>'Exp 2.2 - DBD_Freq_sweep'!I23</f>
        <v>0</v>
      </c>
      <c r="I125">
        <f>'Exp 2.2 - DBD_Freq_sweep'!L23</f>
        <v>2.98</v>
      </c>
      <c r="J125">
        <f>'Exp 2.2 - DBD_Freq_sweep'!M23</f>
        <v>11.92</v>
      </c>
      <c r="K125">
        <f>'Exp 2.2 - DBD_Freq_sweep'!N23</f>
        <v>3.71</v>
      </c>
      <c r="L125">
        <f>'Exp 2.2 - DBD_Freq_sweep'!O23</f>
        <v>1.24</v>
      </c>
      <c r="M125">
        <f>'Exp 2.2 - DBD_Freq_sweep'!P23</f>
        <v>5.25</v>
      </c>
      <c r="N125">
        <f>'Exp 2.2 - DBD_Freq_sweep'!S23</f>
        <v>6.51</v>
      </c>
      <c r="O125">
        <f>'Exp 2.2 - DBD_Freq_sweep'!U23</f>
        <v>0.17192910027940972</v>
      </c>
      <c r="P125">
        <f>'Exp 2.2 - DBD_Freq_sweep'!V23</f>
        <v>1.1238032959998794</v>
      </c>
      <c r="Q125">
        <f>'Exp 2.2 - DBD_Freq_sweep'!X23</f>
        <v>1.022</v>
      </c>
      <c r="R125">
        <f t="shared" si="6"/>
        <v>9.4278799999989875</v>
      </c>
      <c r="S125">
        <f>'Exp 2.2 - DBD_Freq_sweep'!AA23</f>
        <v>0.18709555853001333</v>
      </c>
      <c r="T125">
        <f>'Exp 2.2 - DBD_Freq_sweep'!AM23</f>
        <v>78</v>
      </c>
      <c r="U125">
        <f>'Exp 2.2 - DBD_Freq_sweep'!AO23</f>
        <v>0</v>
      </c>
      <c r="V125">
        <f>IF($L125="","",$L125*Equipment!$B$16/100)</f>
        <v>3.7199999999999997E-2</v>
      </c>
      <c r="W125">
        <f>IF($P125="","",$P125*Equipment!$B$19/100)</f>
        <v>6.7428197759992758E-2</v>
      </c>
      <c r="X125" t="str">
        <f t="shared" si="7"/>
        <v>ok</v>
      </c>
      <c r="Y125" t="str">
        <f>'Exp 2.2 - DBD_Freq_sweep'!AR23</f>
        <v>/</v>
      </c>
    </row>
    <row r="126" spans="1:25" x14ac:dyDescent="0.3">
      <c r="A126" t="s">
        <v>19</v>
      </c>
      <c r="B126" t="str">
        <f>'Exp 2.2 - DBD_Freq_sweep'!A24</f>
        <v>BLOCK 2</v>
      </c>
      <c r="C126" t="str">
        <f>'Exp 2.2 - DBD_Freq_sweep'!C24</f>
        <v>SQUARE</v>
      </c>
      <c r="D126">
        <f>'Exp 2.2 - DBD_Freq_sweep'!D24</f>
        <v>3</v>
      </c>
      <c r="E126">
        <f>'Exp 2.2 - DBD_Freq_sweep'!E24</f>
        <v>30</v>
      </c>
      <c r="F126">
        <f>'Exp 2.2 - DBD_Freq_sweep'!G24</f>
        <v>100</v>
      </c>
      <c r="G126">
        <f>'Exp 2.2 - DBD_Freq_sweep'!H24</f>
        <v>4</v>
      </c>
      <c r="H126">
        <f>'Exp 2.2 - DBD_Freq_sweep'!I24</f>
        <v>0</v>
      </c>
      <c r="I126">
        <f>'Exp 2.2 - DBD_Freq_sweep'!L24</f>
        <v>3.3</v>
      </c>
      <c r="J126">
        <f>'Exp 2.2 - DBD_Freq_sweep'!M24</f>
        <v>13.2</v>
      </c>
      <c r="K126">
        <f>'Exp 2.2 - DBD_Freq_sweep'!N24</f>
        <v>3.24</v>
      </c>
      <c r="L126">
        <f>'Exp 2.2 - DBD_Freq_sweep'!O24</f>
        <v>1.0529999999999999</v>
      </c>
      <c r="M126">
        <f>'Exp 2.2 - DBD_Freq_sweep'!P24</f>
        <v>6.27</v>
      </c>
      <c r="N126">
        <f>'Exp 2.2 - DBD_Freq_sweep'!S24</f>
        <v>6.6023099999999992</v>
      </c>
      <c r="O126">
        <f>'Exp 2.2 - DBD_Freq_sweep'!U24</f>
        <v>0.18566661538557741</v>
      </c>
      <c r="P126">
        <f>'Exp 2.2 - DBD_Freq_sweep'!V24</f>
        <v>1.2303802291948966</v>
      </c>
      <c r="Q126">
        <f>'Exp 2.2 - DBD_Freq_sweep'!X24</f>
        <v>0</v>
      </c>
      <c r="R126">
        <f t="shared" si="6"/>
        <v>9.3210623423855825</v>
      </c>
      <c r="S126" t="str">
        <f>'Exp 2.2 - DBD_Freq_sweep'!AA24</f>
        <v/>
      </c>
      <c r="T126">
        <f>'Exp 2.2 - DBD_Freq_sweep'!AM24</f>
        <v>0</v>
      </c>
      <c r="U126">
        <f>'Exp 2.2 - DBD_Freq_sweep'!AO24</f>
        <v>0</v>
      </c>
      <c r="V126">
        <f>IF($L126="","",$L126*Equipment!$B$16/100)</f>
        <v>3.159E-2</v>
      </c>
      <c r="W126">
        <f>IF($P126="","",$P126*Equipment!$B$19/100)</f>
        <v>7.3822813751693805E-2</v>
      </c>
      <c r="X126" t="str">
        <f t="shared" si="7"/>
        <v>ok</v>
      </c>
      <c r="Y126" t="str">
        <f>'Exp 2.2 - DBD_Freq_sweep'!AR24</f>
        <v>current limit reached</v>
      </c>
    </row>
    <row r="127" spans="1:25" x14ac:dyDescent="0.3">
      <c r="A127" t="s">
        <v>19</v>
      </c>
      <c r="B127" t="str">
        <f>'Exp 2.2 - DBD_Freq_sweep'!A25</f>
        <v>BLOCK 2</v>
      </c>
      <c r="C127" t="str">
        <f>'Exp 2.2 - DBD_Freq_sweep'!C25</f>
        <v>SQUARE</v>
      </c>
      <c r="D127">
        <f>'Exp 2.2 - DBD_Freq_sweep'!D25</f>
        <v>3</v>
      </c>
      <c r="E127">
        <f>'Exp 2.2 - DBD_Freq_sweep'!E25</f>
        <v>40</v>
      </c>
      <c r="F127">
        <f>'Exp 2.2 - DBD_Freq_sweep'!G25</f>
        <v>100</v>
      </c>
      <c r="G127">
        <f>'Exp 2.2 - DBD_Freq_sweep'!H25</f>
        <v>4</v>
      </c>
      <c r="H127">
        <f>'Exp 2.2 - DBD_Freq_sweep'!I25</f>
        <v>0</v>
      </c>
      <c r="I127">
        <f>'Exp 2.2 - DBD_Freq_sweep'!L25</f>
        <v>0</v>
      </c>
      <c r="J127">
        <f>'Exp 2.2 - DBD_Freq_sweep'!M25</f>
        <v>0</v>
      </c>
      <c r="K127">
        <f>'Exp 2.2 - DBD_Freq_sweep'!N25</f>
        <v>0</v>
      </c>
      <c r="L127">
        <f>'Exp 2.2 - DBD_Freq_sweep'!O25</f>
        <v>0</v>
      </c>
      <c r="M127">
        <f>'Exp 2.2 - DBD_Freq_sweep'!P25</f>
        <v>0</v>
      </c>
      <c r="N127" t="str">
        <f>'Exp 2.2 - DBD_Freq_sweep'!S25</f>
        <v/>
      </c>
      <c r="O127" t="str">
        <f>'Exp 2.2 - DBD_Freq_sweep'!U25</f>
        <v/>
      </c>
      <c r="P127" t="str">
        <f>'Exp 2.2 - DBD_Freq_sweep'!V25</f>
        <v/>
      </c>
      <c r="Q127">
        <f>'Exp 2.2 - DBD_Freq_sweep'!X25</f>
        <v>0</v>
      </c>
      <c r="R127" t="str">
        <f t="shared" si="6"/>
        <v/>
      </c>
      <c r="S127" t="str">
        <f>'Exp 2.2 - DBD_Freq_sweep'!AA25</f>
        <v/>
      </c>
      <c r="T127">
        <f>'Exp 2.2 - DBD_Freq_sweep'!AM25</f>
        <v>0</v>
      </c>
      <c r="U127">
        <f>'Exp 2.2 - DBD_Freq_sweep'!AO25</f>
        <v>0</v>
      </c>
      <c r="V127">
        <f>IF($L127="","",$L127*Equipment!$B$16/100)</f>
        <v>0</v>
      </c>
      <c r="W127" t="str">
        <f>IF($P127="","",$P127*Equipment!$B$19/100)</f>
        <v/>
      </c>
      <c r="X127" t="str">
        <f t="shared" si="7"/>
        <v/>
      </c>
      <c r="Y127" t="str">
        <f>'Exp 2.2 - DBD_Freq_sweep'!AR25</f>
        <v>/</v>
      </c>
    </row>
    <row r="128" spans="1:25" x14ac:dyDescent="0.3">
      <c r="A128" t="s">
        <v>19</v>
      </c>
      <c r="B128" t="str">
        <f>'Exp 2.2 - DBD_Freq_sweep'!A26</f>
        <v>BLOCK 2</v>
      </c>
      <c r="C128" t="str">
        <f>'Exp 2.2 - DBD_Freq_sweep'!C26</f>
        <v>SQUARE</v>
      </c>
      <c r="D128">
        <f>'Exp 2.2 - DBD_Freq_sweep'!D26</f>
        <v>3</v>
      </c>
      <c r="E128">
        <f>'Exp 2.2 - DBD_Freq_sweep'!E26</f>
        <v>50</v>
      </c>
      <c r="F128">
        <f>'Exp 2.2 - DBD_Freq_sweep'!G26</f>
        <v>100</v>
      </c>
      <c r="G128">
        <f>'Exp 2.2 - DBD_Freq_sweep'!H26</f>
        <v>4</v>
      </c>
      <c r="H128">
        <f>'Exp 2.2 - DBD_Freq_sweep'!I26</f>
        <v>0</v>
      </c>
      <c r="I128">
        <f>'Exp 2.2 - DBD_Freq_sweep'!L26</f>
        <v>0</v>
      </c>
      <c r="J128">
        <f>'Exp 2.2 - DBD_Freq_sweep'!M26</f>
        <v>0</v>
      </c>
      <c r="K128">
        <f>'Exp 2.2 - DBD_Freq_sweep'!N26</f>
        <v>0</v>
      </c>
      <c r="L128">
        <f>'Exp 2.2 - DBD_Freq_sweep'!O26</f>
        <v>0</v>
      </c>
      <c r="M128">
        <f>'Exp 2.2 - DBD_Freq_sweep'!P26</f>
        <v>0</v>
      </c>
      <c r="N128" t="str">
        <f>'Exp 2.2 - DBD_Freq_sweep'!S26</f>
        <v/>
      </c>
      <c r="O128" t="str">
        <f>'Exp 2.2 - DBD_Freq_sweep'!U26</f>
        <v/>
      </c>
      <c r="P128" t="str">
        <f>'Exp 2.2 - DBD_Freq_sweep'!V26</f>
        <v/>
      </c>
      <c r="Q128">
        <f>'Exp 2.2 - DBD_Freq_sweep'!X26</f>
        <v>0</v>
      </c>
      <c r="R128" t="str">
        <f t="shared" si="6"/>
        <v/>
      </c>
      <c r="S128" t="str">
        <f>'Exp 2.2 - DBD_Freq_sweep'!AA26</f>
        <v/>
      </c>
      <c r="T128">
        <f>'Exp 2.2 - DBD_Freq_sweep'!AM26</f>
        <v>0</v>
      </c>
      <c r="U128">
        <f>'Exp 2.2 - DBD_Freq_sweep'!AO26</f>
        <v>0</v>
      </c>
      <c r="V128">
        <f>IF($L128="","",$L128*Equipment!$B$16/100)</f>
        <v>0</v>
      </c>
      <c r="W128" t="str">
        <f>IF($P128="","",$P128*Equipment!$B$19/100)</f>
        <v/>
      </c>
      <c r="X128" t="str">
        <f t="shared" si="7"/>
        <v/>
      </c>
      <c r="Y128" t="str">
        <f>'Exp 2.2 - DBD_Freq_sweep'!AR26</f>
        <v>/</v>
      </c>
    </row>
    <row r="129" spans="1:25" x14ac:dyDescent="0.3">
      <c r="A129" t="s">
        <v>19</v>
      </c>
      <c r="B129" t="str">
        <f>'Exp 2.2 - DBD_Freq_sweep'!A27</f>
        <v>BLOCK 2</v>
      </c>
      <c r="C129" t="str">
        <f>'Exp 2.2 - DBD_Freq_sweep'!C27</f>
        <v>SQUARE</v>
      </c>
      <c r="D129">
        <f>'Exp 2.2 - DBD_Freq_sweep'!D27</f>
        <v>3</v>
      </c>
      <c r="E129">
        <f>'Exp 2.2 - DBD_Freq_sweep'!E27</f>
        <v>60</v>
      </c>
      <c r="F129">
        <f>'Exp 2.2 - DBD_Freq_sweep'!G27</f>
        <v>100</v>
      </c>
      <c r="G129">
        <f>'Exp 2.2 - DBD_Freq_sweep'!H27</f>
        <v>4</v>
      </c>
      <c r="H129">
        <f>'Exp 2.2 - DBD_Freq_sweep'!I27</f>
        <v>0</v>
      </c>
      <c r="I129">
        <f>'Exp 2.2 - DBD_Freq_sweep'!L27</f>
        <v>0</v>
      </c>
      <c r="J129">
        <f>'Exp 2.2 - DBD_Freq_sweep'!M27</f>
        <v>0</v>
      </c>
      <c r="K129">
        <f>'Exp 2.2 - DBD_Freq_sweep'!N27</f>
        <v>0</v>
      </c>
      <c r="L129">
        <f>'Exp 2.2 - DBD_Freq_sweep'!O27</f>
        <v>0</v>
      </c>
      <c r="M129">
        <f>'Exp 2.2 - DBD_Freq_sweep'!P27</f>
        <v>0</v>
      </c>
      <c r="N129" t="str">
        <f>'Exp 2.2 - DBD_Freq_sweep'!S27</f>
        <v/>
      </c>
      <c r="O129" t="str">
        <f>'Exp 2.2 - DBD_Freq_sweep'!U27</f>
        <v/>
      </c>
      <c r="P129" t="str">
        <f>'Exp 2.2 - DBD_Freq_sweep'!V27</f>
        <v/>
      </c>
      <c r="Q129">
        <f>'Exp 2.2 - DBD_Freq_sweep'!X27</f>
        <v>0</v>
      </c>
      <c r="R129" t="str">
        <f t="shared" si="6"/>
        <v/>
      </c>
      <c r="S129" t="str">
        <f>'Exp 2.2 - DBD_Freq_sweep'!AA27</f>
        <v/>
      </c>
      <c r="T129">
        <f>'Exp 2.2 - DBD_Freq_sweep'!AM27</f>
        <v>0</v>
      </c>
      <c r="U129">
        <f>'Exp 2.2 - DBD_Freq_sweep'!AO27</f>
        <v>0</v>
      </c>
      <c r="V129">
        <f>IF($L129="","",$L129*Equipment!$B$16/100)</f>
        <v>0</v>
      </c>
      <c r="W129" t="str">
        <f>IF($P129="","",$P129*Equipment!$B$19/100)</f>
        <v/>
      </c>
      <c r="X129" t="str">
        <f t="shared" si="7"/>
        <v/>
      </c>
      <c r="Y129" t="str">
        <f>'Exp 2.2 - DBD_Freq_sweep'!AR27</f>
        <v>/</v>
      </c>
    </row>
    <row r="130" spans="1:25" x14ac:dyDescent="0.3">
      <c r="A130" t="s">
        <v>19</v>
      </c>
      <c r="B130" t="str">
        <f>'Exp 2.2 - DBD_Freq_sweep'!A29</f>
        <v>BLOCK 3</v>
      </c>
      <c r="C130" t="str">
        <f>'Exp 2.2 - DBD_Freq_sweep'!C29</f>
        <v>SQUARE</v>
      </c>
      <c r="D130">
        <f>'Exp 2.2 - DBD_Freq_sweep'!D29</f>
        <v>1</v>
      </c>
      <c r="E130">
        <f>'Exp 2.2 - DBD_Freq_sweep'!E29</f>
        <v>5</v>
      </c>
      <c r="F130">
        <f>'Exp 2.2 - DBD_Freq_sweep'!G29</f>
        <v>100</v>
      </c>
      <c r="G130">
        <f>'Exp 2.2 - DBD_Freq_sweep'!H29</f>
        <v>2</v>
      </c>
      <c r="H130">
        <f>'Exp 2.2 - DBD_Freq_sweep'!I29</f>
        <v>2</v>
      </c>
      <c r="I130">
        <f>'Exp 2.2 - DBD_Freq_sweep'!L29</f>
        <v>0</v>
      </c>
      <c r="J130">
        <f>'Exp 2.2 - DBD_Freq_sweep'!M29</f>
        <v>0</v>
      </c>
      <c r="K130">
        <f>'Exp 2.2 - DBD_Freq_sweep'!N29</f>
        <v>0</v>
      </c>
      <c r="L130">
        <f>'Exp 2.2 - DBD_Freq_sweep'!O29</f>
        <v>0</v>
      </c>
      <c r="M130">
        <f>'Exp 2.2 - DBD_Freq_sweep'!P29</f>
        <v>0</v>
      </c>
      <c r="N130" t="str">
        <f>'Exp 2.2 - DBD_Freq_sweep'!S29</f>
        <v/>
      </c>
      <c r="O130" t="str">
        <f>'Exp 2.2 - DBD_Freq_sweep'!U29</f>
        <v/>
      </c>
      <c r="P130" t="str">
        <f>'Exp 2.2 - DBD_Freq_sweep'!V29</f>
        <v/>
      </c>
      <c r="Q130">
        <f>'Exp 2.2 - DBD_Freq_sweep'!X29</f>
        <v>0</v>
      </c>
      <c r="R130" t="str">
        <f t="shared" si="6"/>
        <v/>
      </c>
      <c r="S130" t="str">
        <f>'Exp 2.2 - DBD_Freq_sweep'!AA29</f>
        <v/>
      </c>
      <c r="T130">
        <f>'Exp 2.2 - DBD_Freq_sweep'!AM29</f>
        <v>0</v>
      </c>
      <c r="U130">
        <f>'Exp 2.2 - DBD_Freq_sweep'!AO29</f>
        <v>0</v>
      </c>
      <c r="V130">
        <f>IF($L130="","",$L130*Equipment!$B$16/100)</f>
        <v>0</v>
      </c>
      <c r="W130" t="str">
        <f>IF($P130="","",$P130*Equipment!$B$19/100)</f>
        <v/>
      </c>
      <c r="X130" t="str">
        <f t="shared" si="7"/>
        <v/>
      </c>
      <c r="Y130">
        <f>'Exp 2.2 - DBD_Freq_sweep'!AR29</f>
        <v>0</v>
      </c>
    </row>
    <row r="131" spans="1:25" x14ac:dyDescent="0.3">
      <c r="A131" t="s">
        <v>19</v>
      </c>
      <c r="B131" t="str">
        <f>'Exp 2.2 - DBD_Freq_sweep'!A30</f>
        <v>BLOCK 3</v>
      </c>
      <c r="C131" t="str">
        <f>'Exp 2.2 - DBD_Freq_sweep'!C30</f>
        <v>SQUARE</v>
      </c>
      <c r="D131">
        <f>'Exp 2.2 - DBD_Freq_sweep'!D30</f>
        <v>1</v>
      </c>
      <c r="E131">
        <f>'Exp 2.2 - DBD_Freq_sweep'!E30</f>
        <v>6</v>
      </c>
      <c r="F131">
        <f>'Exp 2.2 - DBD_Freq_sweep'!G30</f>
        <v>100</v>
      </c>
      <c r="G131">
        <f>'Exp 2.2 - DBD_Freq_sweep'!H30</f>
        <v>2</v>
      </c>
      <c r="H131">
        <f>'Exp 2.2 - DBD_Freq_sweep'!I30</f>
        <v>2</v>
      </c>
      <c r="I131">
        <f>'Exp 2.2 - DBD_Freq_sweep'!L30</f>
        <v>0.54</v>
      </c>
      <c r="J131">
        <f>'Exp 2.2 - DBD_Freq_sweep'!M30</f>
        <v>1.08</v>
      </c>
      <c r="K131">
        <f>'Exp 2.2 - DBD_Freq_sweep'!N30</f>
        <v>1.78</v>
      </c>
      <c r="L131">
        <f>'Exp 2.2 - DBD_Freq_sweep'!O30</f>
        <v>0.63700000000000001</v>
      </c>
      <c r="M131">
        <f>'Exp 2.2 - DBD_Freq_sweep'!P30</f>
        <v>3.75</v>
      </c>
      <c r="N131">
        <f>'Exp 2.2 - DBD_Freq_sweep'!S30</f>
        <v>2.3887499999999999</v>
      </c>
      <c r="O131">
        <f>'Exp 2.2 - DBD_Freq_sweep'!U30</f>
        <v>0.24361501178602257</v>
      </c>
      <c r="P131">
        <f>'Exp 2.2 - DBD_Freq_sweep'!V30</f>
        <v>0.58349110671862203</v>
      </c>
      <c r="Q131">
        <f>'Exp 2.2 - DBD_Freq_sweep'!X30</f>
        <v>0</v>
      </c>
      <c r="R131">
        <f t="shared" ref="R131:R162" si="8">IFERROR(IF(OR($J131="",$P131="",$J131=0),"",$P131/$J131*100),"")</f>
        <v>54.026954325798336</v>
      </c>
      <c r="S131">
        <f>'Exp 2.2 - DBD_Freq_sweep'!AA30</f>
        <v>0.14536975196660556</v>
      </c>
      <c r="T131">
        <f>'Exp 2.2 - DBD_Freq_sweep'!AM30</f>
        <v>28</v>
      </c>
      <c r="U131">
        <f>'Exp 2.2 - DBD_Freq_sweep'!AO30</f>
        <v>0</v>
      </c>
      <c r="V131">
        <f>IF($L131="","",$L131*Equipment!$B$16/100)</f>
        <v>1.9110000000000002E-2</v>
      </c>
      <c r="W131">
        <f>IF($P131="","",$P131*Equipment!$B$19/100)</f>
        <v>3.5009466403117327E-2</v>
      </c>
      <c r="X131" t="str">
        <f t="shared" ref="X131:X162" si="9">IF(R131="","",IF(OR(R131&gt;105,R131&lt;-5),"⚠ suspect (déphasage/deskew probable)",IF(R131&gt;90,"△ à surveiller (&gt;90%)","ok")))</f>
        <v>ok</v>
      </c>
      <c r="Y131">
        <f>'Exp 2.2 - DBD_Freq_sweep'!AR30</f>
        <v>0</v>
      </c>
    </row>
    <row r="132" spans="1:25" x14ac:dyDescent="0.3">
      <c r="A132" t="s">
        <v>19</v>
      </c>
      <c r="B132" t="str">
        <f>'Exp 2.2 - DBD_Freq_sweep'!A31</f>
        <v>BLOCK 3</v>
      </c>
      <c r="C132" t="str">
        <f>'Exp 2.2 - DBD_Freq_sweep'!C31</f>
        <v>SQUARE</v>
      </c>
      <c r="D132">
        <f>'Exp 2.2 - DBD_Freq_sweep'!D31</f>
        <v>1</v>
      </c>
      <c r="E132">
        <f>'Exp 2.2 - DBD_Freq_sweep'!E31</f>
        <v>6.5</v>
      </c>
      <c r="F132">
        <f>'Exp 2.2 - DBD_Freq_sweep'!G31</f>
        <v>100</v>
      </c>
      <c r="G132">
        <f>'Exp 2.2 - DBD_Freq_sweep'!H31</f>
        <v>2</v>
      </c>
      <c r="H132">
        <f>'Exp 2.2 - DBD_Freq_sweep'!I31</f>
        <v>2</v>
      </c>
      <c r="I132">
        <f>'Exp 2.2 - DBD_Freq_sweep'!L31</f>
        <v>0.5</v>
      </c>
      <c r="J132">
        <f>'Exp 2.2 - DBD_Freq_sweep'!M31</f>
        <v>1</v>
      </c>
      <c r="K132">
        <f>'Exp 2.2 - DBD_Freq_sweep'!N31</f>
        <v>3.43</v>
      </c>
      <c r="L132">
        <f>'Exp 2.2 - DBD_Freq_sweep'!O31</f>
        <v>1.25</v>
      </c>
      <c r="M132">
        <f>'Exp 2.2 - DBD_Freq_sweep'!P31</f>
        <v>11.07</v>
      </c>
      <c r="N132">
        <f>'Exp 2.2 - DBD_Freq_sweep'!S31</f>
        <v>13.8375</v>
      </c>
      <c r="O132">
        <f>'Exp 2.2 - DBD_Freq_sweep'!U31</f>
        <v>0.35836794954530016</v>
      </c>
      <c r="P132">
        <f>'Exp 2.2 - DBD_Freq_sweep'!V31</f>
        <v>4.9668024943821587</v>
      </c>
      <c r="Q132">
        <f>'Exp 2.2 - DBD_Freq_sweep'!X31</f>
        <v>0</v>
      </c>
      <c r="R132">
        <f t="shared" si="8"/>
        <v>496.68024943821587</v>
      </c>
      <c r="S132">
        <f>'Exp 2.2 - DBD_Freq_sweep'!AA31</f>
        <v>7.4604726513432404E-2</v>
      </c>
      <c r="T132">
        <f>'Exp 2.2 - DBD_Freq_sweep'!AM31</f>
        <v>27</v>
      </c>
      <c r="U132">
        <f>'Exp 2.2 - DBD_Freq_sweep'!AO31</f>
        <v>0</v>
      </c>
      <c r="V132">
        <f>IF($L132="","",$L132*Equipment!$B$16/100)</f>
        <v>3.7499999999999999E-2</v>
      </c>
      <c r="W132">
        <f>IF($P132="","",$P132*Equipment!$B$19/100)</f>
        <v>0.29800814966292954</v>
      </c>
      <c r="X132" t="str">
        <f t="shared" si="9"/>
        <v>⚠ suspect (déphasage/deskew probable)</v>
      </c>
      <c r="Y132">
        <f>'Exp 2.2 - DBD_Freq_sweep'!AR31</f>
        <v>0</v>
      </c>
    </row>
    <row r="133" spans="1:25" x14ac:dyDescent="0.3">
      <c r="A133" t="s">
        <v>19</v>
      </c>
      <c r="B133" t="str">
        <f>'Exp 2.2 - DBD_Freq_sweep'!A32</f>
        <v>BLOCK 3</v>
      </c>
      <c r="C133" t="str">
        <f>'Exp 2.2 - DBD_Freq_sweep'!C32</f>
        <v>SQUARE</v>
      </c>
      <c r="D133">
        <f>'Exp 2.2 - DBD_Freq_sweep'!D32</f>
        <v>1</v>
      </c>
      <c r="E133">
        <f>'Exp 2.2 - DBD_Freq_sweep'!E32</f>
        <v>7</v>
      </c>
      <c r="F133">
        <f>'Exp 2.2 - DBD_Freq_sweep'!G32</f>
        <v>100</v>
      </c>
      <c r="G133">
        <f>'Exp 2.2 - DBD_Freq_sweep'!H32</f>
        <v>2</v>
      </c>
      <c r="H133">
        <f>'Exp 2.2 - DBD_Freq_sweep'!I32</f>
        <v>2</v>
      </c>
      <c r="I133">
        <f>'Exp 2.2 - DBD_Freq_sweep'!L32</f>
        <v>0.52</v>
      </c>
      <c r="J133">
        <f>'Exp 2.2 - DBD_Freq_sweep'!M32</f>
        <v>1.04</v>
      </c>
      <c r="K133">
        <f>'Exp 2.2 - DBD_Freq_sweep'!N32</f>
        <v>3.24</v>
      </c>
      <c r="L133">
        <f>'Exp 2.2 - DBD_Freq_sweep'!O32</f>
        <v>1.1599999999999999</v>
      </c>
      <c r="M133">
        <f>'Exp 2.2 - DBD_Freq_sweep'!P32</f>
        <v>11.77</v>
      </c>
      <c r="N133">
        <f>'Exp 2.2 - DBD_Freq_sweep'!S32</f>
        <v>13.653199999999998</v>
      </c>
      <c r="O133">
        <f>'Exp 2.2 - DBD_Freq_sweep'!U32</f>
        <v>0.47869185794060687</v>
      </c>
      <c r="P133">
        <f>'Exp 2.2 - DBD_Freq_sweep'!V32</f>
        <v>6.5421870600976737</v>
      </c>
      <c r="Q133">
        <f>'Exp 2.2 - DBD_Freq_sweep'!X32</f>
        <v>0</v>
      </c>
      <c r="R133">
        <f t="shared" si="8"/>
        <v>629.05644808631473</v>
      </c>
      <c r="S133">
        <f>'Exp 2.2 - DBD_Freq_sweep'!AA32</f>
        <v>7.6637686151174167E-2</v>
      </c>
      <c r="T133">
        <f>'Exp 2.2 - DBD_Freq_sweep'!AM32</f>
        <v>27</v>
      </c>
      <c r="U133">
        <f>'Exp 2.2 - DBD_Freq_sweep'!AO32</f>
        <v>0</v>
      </c>
      <c r="V133">
        <f>IF($L133="","",$L133*Equipment!$B$16/100)</f>
        <v>3.4799999999999998E-2</v>
      </c>
      <c r="W133">
        <f>IF($P133="","",$P133*Equipment!$B$19/100)</f>
        <v>0.3925312236058604</v>
      </c>
      <c r="X133" t="str">
        <f t="shared" si="9"/>
        <v>⚠ suspect (déphasage/deskew probable)</v>
      </c>
      <c r="Y133">
        <f>'Exp 2.2 - DBD_Freq_sweep'!AR32</f>
        <v>0</v>
      </c>
    </row>
    <row r="134" spans="1:25" x14ac:dyDescent="0.3">
      <c r="A134" t="s">
        <v>19</v>
      </c>
      <c r="B134" t="str">
        <f>'Exp 2.2 - DBD_Freq_sweep'!A33</f>
        <v>BLOCK 3</v>
      </c>
      <c r="C134" t="str">
        <f>'Exp 2.2 - DBD_Freq_sweep'!C33</f>
        <v>SQUARE</v>
      </c>
      <c r="D134">
        <f>'Exp 2.2 - DBD_Freq_sweep'!D33</f>
        <v>1</v>
      </c>
      <c r="E134">
        <f>'Exp 2.2 - DBD_Freq_sweep'!E33</f>
        <v>7.5</v>
      </c>
      <c r="F134">
        <f>'Exp 2.2 - DBD_Freq_sweep'!G33</f>
        <v>100</v>
      </c>
      <c r="G134">
        <f>'Exp 2.2 - DBD_Freq_sweep'!H33</f>
        <v>2</v>
      </c>
      <c r="H134">
        <f>'Exp 2.2 - DBD_Freq_sweep'!I33</f>
        <v>2</v>
      </c>
      <c r="I134">
        <f>'Exp 2.2 - DBD_Freq_sweep'!L33</f>
        <v>0.54</v>
      </c>
      <c r="J134">
        <f>'Exp 2.2 - DBD_Freq_sweep'!M33</f>
        <v>1.08</v>
      </c>
      <c r="K134">
        <f>'Exp 2.2 - DBD_Freq_sweep'!N33</f>
        <v>2.39</v>
      </c>
      <c r="L134">
        <f>'Exp 2.2 - DBD_Freq_sweep'!O33</f>
        <v>0.83</v>
      </c>
      <c r="M134">
        <f>'Exp 2.2 - DBD_Freq_sweep'!P33</f>
        <v>10.220000000000001</v>
      </c>
      <c r="N134">
        <f>'Exp 2.2 - DBD_Freq_sweep'!S33</f>
        <v>8.4825999999999997</v>
      </c>
      <c r="O134">
        <f>'Exp 2.2 - DBD_Freq_sweep'!U33</f>
        <v>0.48938245174884626</v>
      </c>
      <c r="P134">
        <f>'Exp 2.2 - DBD_Freq_sweep'!V33</f>
        <v>4.155207976399252</v>
      </c>
      <c r="Q134">
        <f>'Exp 2.2 - DBD_Freq_sweep'!X33</f>
        <v>0</v>
      </c>
      <c r="R134">
        <f t="shared" si="8"/>
        <v>384.741479296227</v>
      </c>
      <c r="S134">
        <f>'Exp 2.2 - DBD_Freq_sweep'!AA33</f>
        <v>9.9392779046470786E-2</v>
      </c>
      <c r="T134">
        <f>'Exp 2.2 - DBD_Freq_sweep'!AM33</f>
        <v>28</v>
      </c>
      <c r="U134">
        <f>'Exp 2.2 - DBD_Freq_sweep'!AO33</f>
        <v>0</v>
      </c>
      <c r="V134">
        <f>IF($L134="","",$L134*Equipment!$B$16/100)</f>
        <v>2.4899999999999999E-2</v>
      </c>
      <c r="W134">
        <f>IF($P134="","",$P134*Equipment!$B$19/100)</f>
        <v>0.24931247858395511</v>
      </c>
      <c r="X134" t="str">
        <f t="shared" si="9"/>
        <v>⚠ suspect (déphasage/deskew probable)</v>
      </c>
      <c r="Y134">
        <f>'Exp 2.2 - DBD_Freq_sweep'!AR33</f>
        <v>0</v>
      </c>
    </row>
    <row r="135" spans="1:25" x14ac:dyDescent="0.3">
      <c r="A135" t="s">
        <v>19</v>
      </c>
      <c r="B135" t="str">
        <f>'Exp 2.2 - DBD_Freq_sweep'!A34</f>
        <v>BLOCK 3</v>
      </c>
      <c r="C135" t="str">
        <f>'Exp 2.2 - DBD_Freq_sweep'!C34</f>
        <v>SQUARE</v>
      </c>
      <c r="D135">
        <f>'Exp 2.2 - DBD_Freq_sweep'!D34</f>
        <v>1</v>
      </c>
      <c r="E135">
        <f>'Exp 2.2 - DBD_Freq_sweep'!E34</f>
        <v>8</v>
      </c>
      <c r="F135">
        <f>'Exp 2.2 - DBD_Freq_sweep'!G34</f>
        <v>100</v>
      </c>
      <c r="G135">
        <f>'Exp 2.2 - DBD_Freq_sweep'!H34</f>
        <v>2</v>
      </c>
      <c r="H135">
        <f>'Exp 2.2 - DBD_Freq_sweep'!I34</f>
        <v>2</v>
      </c>
      <c r="I135">
        <f>'Exp 2.2 - DBD_Freq_sweep'!L34</f>
        <v>0.54</v>
      </c>
      <c r="J135">
        <f>'Exp 2.2 - DBD_Freq_sweep'!M34</f>
        <v>1.08</v>
      </c>
      <c r="K135">
        <f>'Exp 2.2 - DBD_Freq_sweep'!N34</f>
        <v>1.69</v>
      </c>
      <c r="L135">
        <f>'Exp 2.2 - DBD_Freq_sweep'!O34</f>
        <v>0.58299999999999996</v>
      </c>
      <c r="M135">
        <f>'Exp 2.2 - DBD_Freq_sweep'!P34</f>
        <v>8.7799999999999994</v>
      </c>
      <c r="N135">
        <f>'Exp 2.2 - DBD_Freq_sweep'!S34</f>
        <v>5.118739999999999</v>
      </c>
      <c r="O135">
        <f>'Exp 2.2 - DBD_Freq_sweep'!U34</f>
        <v>0.4415058527917452</v>
      </c>
      <c r="P135">
        <f>'Exp 2.2 - DBD_Freq_sweep'!V34</f>
        <v>2.2625459956766996</v>
      </c>
      <c r="Q135">
        <f>'Exp 2.2 - DBD_Freq_sweep'!X34</f>
        <v>0</v>
      </c>
      <c r="R135">
        <f t="shared" si="8"/>
        <v>209.49499959969438</v>
      </c>
      <c r="S135">
        <f>'Exp 2.2 - DBD_Freq_sweep'!AA34</f>
        <v>0.14801444043321299</v>
      </c>
      <c r="T135">
        <f>'Exp 2.2 - DBD_Freq_sweep'!AM34</f>
        <v>28</v>
      </c>
      <c r="U135">
        <f>'Exp 2.2 - DBD_Freq_sweep'!AO34</f>
        <v>0</v>
      </c>
      <c r="V135">
        <f>IF($L135="","",$L135*Equipment!$B$16/100)</f>
        <v>1.7489999999999999E-2</v>
      </c>
      <c r="W135">
        <f>IF($P135="","",$P135*Equipment!$B$19/100)</f>
        <v>0.13575275974060197</v>
      </c>
      <c r="X135" t="str">
        <f t="shared" si="9"/>
        <v>⚠ suspect (déphasage/deskew probable)</v>
      </c>
      <c r="Y135">
        <f>'Exp 2.2 - DBD_Freq_sweep'!AR34</f>
        <v>0</v>
      </c>
    </row>
    <row r="136" spans="1:25" x14ac:dyDescent="0.3">
      <c r="A136" t="s">
        <v>19</v>
      </c>
      <c r="B136" t="str">
        <f>'Exp 2.2 - DBD_Freq_sweep'!A35</f>
        <v>BLOCK 3</v>
      </c>
      <c r="C136" t="str">
        <f>'Exp 2.2 - DBD_Freq_sweep'!C35</f>
        <v>SQUARE</v>
      </c>
      <c r="D136">
        <f>'Exp 2.2 - DBD_Freq_sweep'!D35</f>
        <v>1</v>
      </c>
      <c r="E136">
        <f>'Exp 2.2 - DBD_Freq_sweep'!E35</f>
        <v>9</v>
      </c>
      <c r="F136">
        <f>'Exp 2.2 - DBD_Freq_sweep'!G35</f>
        <v>100</v>
      </c>
      <c r="G136">
        <f>'Exp 2.2 - DBD_Freq_sweep'!H35</f>
        <v>2</v>
      </c>
      <c r="H136">
        <f>'Exp 2.2 - DBD_Freq_sweep'!I35</f>
        <v>2</v>
      </c>
      <c r="I136">
        <f>'Exp 2.2 - DBD_Freq_sweep'!L35</f>
        <v>0.54</v>
      </c>
      <c r="J136">
        <f>'Exp 2.2 - DBD_Freq_sweep'!M35</f>
        <v>1.08</v>
      </c>
      <c r="K136">
        <f>'Exp 2.2 - DBD_Freq_sweep'!N35</f>
        <v>1.1499999999999999</v>
      </c>
      <c r="L136">
        <f>'Exp 2.2 - DBD_Freq_sweep'!O35</f>
        <v>0.34599999999999997</v>
      </c>
      <c r="M136">
        <f>'Exp 2.2 - DBD_Freq_sweep'!P35</f>
        <v>7.14</v>
      </c>
      <c r="N136">
        <f>'Exp 2.2 - DBD_Freq_sweep'!S35</f>
        <v>2.4704399999999995</v>
      </c>
      <c r="O136">
        <f>'Exp 2.2 - DBD_Freq_sweep'!U35</f>
        <v>0.30901699437494745</v>
      </c>
      <c r="P136">
        <f>'Exp 2.2 - DBD_Freq_sweep'!V35</f>
        <v>0.76490458228859426</v>
      </c>
      <c r="Q136">
        <f>'Exp 2.2 - DBD_Freq_sweep'!X35</f>
        <v>0</v>
      </c>
      <c r="R136">
        <f t="shared" si="8"/>
        <v>70.824498360055017</v>
      </c>
      <c r="S136">
        <f>'Exp 2.2 - DBD_Freq_sweep'!AA35</f>
        <v>0.21980252225333388</v>
      </c>
      <c r="T136">
        <f>'Exp 2.2 - DBD_Freq_sweep'!AM35</f>
        <v>28</v>
      </c>
      <c r="U136">
        <f>'Exp 2.2 - DBD_Freq_sweep'!AO35</f>
        <v>0</v>
      </c>
      <c r="V136">
        <f>IF($L136="","",$L136*Equipment!$B$16/100)</f>
        <v>1.0379999999999999E-2</v>
      </c>
      <c r="W136">
        <f>IF($P136="","",$P136*Equipment!$B$19/100)</f>
        <v>4.5894274937315654E-2</v>
      </c>
      <c r="X136" t="str">
        <f t="shared" si="9"/>
        <v>ok</v>
      </c>
      <c r="Y136">
        <f>'Exp 2.2 - DBD_Freq_sweep'!AR35</f>
        <v>0</v>
      </c>
    </row>
    <row r="137" spans="1:25" x14ac:dyDescent="0.3">
      <c r="A137" t="s">
        <v>19</v>
      </c>
      <c r="B137" t="str">
        <f>'Exp 2.2 - DBD_Freq_sweep'!A36</f>
        <v>BLOCK 3</v>
      </c>
      <c r="C137" t="str">
        <f>'Exp 2.2 - DBD_Freq_sweep'!C36</f>
        <v>SQUARE</v>
      </c>
      <c r="D137">
        <f>'Exp 2.2 - DBD_Freq_sweep'!D36</f>
        <v>1</v>
      </c>
      <c r="E137">
        <f>'Exp 2.2 - DBD_Freq_sweep'!E36</f>
        <v>10</v>
      </c>
      <c r="F137">
        <f>'Exp 2.2 - DBD_Freq_sweep'!G36</f>
        <v>100</v>
      </c>
      <c r="G137">
        <f>'Exp 2.2 - DBD_Freq_sweep'!H36</f>
        <v>2</v>
      </c>
      <c r="H137">
        <f>'Exp 2.2 - DBD_Freq_sweep'!I36</f>
        <v>2</v>
      </c>
      <c r="I137">
        <f>'Exp 2.2 - DBD_Freq_sweep'!L36</f>
        <v>0.54</v>
      </c>
      <c r="J137">
        <f>'Exp 2.2 - DBD_Freq_sweep'!M36</f>
        <v>1.08</v>
      </c>
      <c r="K137">
        <f>'Exp 2.2 - DBD_Freq_sweep'!N36</f>
        <v>0.76600000000000001</v>
      </c>
      <c r="L137">
        <f>'Exp 2.2 - DBD_Freq_sweep'!O36</f>
        <v>0.28000000000000003</v>
      </c>
      <c r="M137">
        <f>'Exp 2.2 - DBD_Freq_sweep'!P36</f>
        <v>6.61</v>
      </c>
      <c r="N137">
        <f>'Exp 2.2 - DBD_Freq_sweep'!S36</f>
        <v>1.8508000000000002</v>
      </c>
      <c r="O137">
        <f>'Exp 2.2 - DBD_Freq_sweep'!U36</f>
        <v>0.13744454603714681</v>
      </c>
      <c r="P137">
        <f>'Exp 2.2 - DBD_Freq_sweep'!V36</f>
        <v>0.25571400990657833</v>
      </c>
      <c r="Q137">
        <f>'Exp 2.2 - DBD_Freq_sweep'!X36</f>
        <v>0</v>
      </c>
      <c r="R137">
        <f t="shared" si="8"/>
        <v>23.67722313949799</v>
      </c>
      <c r="S137">
        <f>'Exp 2.2 - DBD_Freq_sweep'!AA36</f>
        <v>0.11008204011352422</v>
      </c>
      <c r="T137">
        <f>'Exp 2.2 - DBD_Freq_sweep'!AM36</f>
        <v>28</v>
      </c>
      <c r="U137">
        <f>'Exp 2.2 - DBD_Freq_sweep'!AO36</f>
        <v>0</v>
      </c>
      <c r="V137">
        <f>IF($L137="","",$L137*Equipment!$B$16/100)</f>
        <v>8.4000000000000012E-3</v>
      </c>
      <c r="W137">
        <f>IF($P137="","",$P137*Equipment!$B$19/100)</f>
        <v>1.53428405943947E-2</v>
      </c>
      <c r="X137" t="str">
        <f t="shared" si="9"/>
        <v>ok</v>
      </c>
      <c r="Y137">
        <f>'Exp 2.2 - DBD_Freq_sweep'!AR36</f>
        <v>0</v>
      </c>
    </row>
    <row r="138" spans="1:25" x14ac:dyDescent="0.3">
      <c r="A138" t="s">
        <v>19</v>
      </c>
      <c r="B138" t="str">
        <f>'Exp 2.2 - DBD_Freq_sweep'!A37</f>
        <v>BLOCK 3</v>
      </c>
      <c r="C138" t="str">
        <f>'Exp 2.2 - DBD_Freq_sweep'!C37</f>
        <v>SQUARE</v>
      </c>
      <c r="D138">
        <f>'Exp 2.2 - DBD_Freq_sweep'!D37</f>
        <v>1</v>
      </c>
      <c r="E138">
        <f>'Exp 2.2 - DBD_Freq_sweep'!E37</f>
        <v>15</v>
      </c>
      <c r="F138">
        <f>'Exp 2.2 - DBD_Freq_sweep'!G37</f>
        <v>100</v>
      </c>
      <c r="G138">
        <f>'Exp 2.2 - DBD_Freq_sweep'!H37</f>
        <v>2</v>
      </c>
      <c r="H138">
        <f>'Exp 2.2 - DBD_Freq_sweep'!I37</f>
        <v>2</v>
      </c>
      <c r="I138">
        <f>'Exp 2.2 - DBD_Freq_sweep'!L37</f>
        <v>0.54</v>
      </c>
      <c r="J138">
        <f>'Exp 2.2 - DBD_Freq_sweep'!M37</f>
        <v>1.08</v>
      </c>
      <c r="K138">
        <f>'Exp 2.2 - DBD_Freq_sweep'!N37</f>
        <v>0.34499999999999997</v>
      </c>
      <c r="L138">
        <f>'Exp 2.2 - DBD_Freq_sweep'!O37</f>
        <v>0.106</v>
      </c>
      <c r="M138">
        <f>'Exp 2.2 - DBD_Freq_sweep'!P37</f>
        <v>5.91</v>
      </c>
      <c r="N138">
        <f>'Exp 2.2 - DBD_Freq_sweep'!S37</f>
        <v>0.62646000000000002</v>
      </c>
      <c r="O138">
        <f>'Exp 2.2 - DBD_Freq_sweep'!U37</f>
        <v>-0.70339470281050376</v>
      </c>
      <c r="P138">
        <f>'Exp 2.2 - DBD_Freq_sweep'!V37</f>
        <v>-0.44011762318682224</v>
      </c>
      <c r="Q138">
        <f>'Exp 2.2 - DBD_Freq_sweep'!X37</f>
        <v>0</v>
      </c>
      <c r="R138">
        <f t="shared" si="8"/>
        <v>-40.751631776557609</v>
      </c>
      <c r="S138">
        <f>'Exp 2.2 - DBD_Freq_sweep'!AA37</f>
        <v>0.15811388300841897</v>
      </c>
      <c r="T138">
        <f>'Exp 2.2 - DBD_Freq_sweep'!AM37</f>
        <v>28</v>
      </c>
      <c r="U138">
        <f>'Exp 2.2 - DBD_Freq_sweep'!AO37</f>
        <v>0</v>
      </c>
      <c r="V138">
        <f>IF($L138="","",$L138*Equipment!$B$16/100)</f>
        <v>3.1800000000000001E-3</v>
      </c>
      <c r="W138">
        <f>IF($P138="","",$P138*Equipment!$B$19/100)</f>
        <v>-2.6407057391209333E-2</v>
      </c>
      <c r="X138" t="str">
        <f t="shared" si="9"/>
        <v>⚠ suspect (déphasage/deskew probable)</v>
      </c>
      <c r="Y138">
        <f>'Exp 2.2 - DBD_Freq_sweep'!AR37</f>
        <v>0</v>
      </c>
    </row>
    <row r="139" spans="1:25" x14ac:dyDescent="0.3">
      <c r="A139" t="s">
        <v>19</v>
      </c>
      <c r="B139" t="str">
        <f>'Exp 2.2 - DBD_Freq_sweep'!A38</f>
        <v>BLOCK 3</v>
      </c>
      <c r="C139" t="str">
        <f>'Exp 2.2 - DBD_Freq_sweep'!C38</f>
        <v>SQUARE</v>
      </c>
      <c r="D139">
        <f>'Exp 2.2 - DBD_Freq_sweep'!D38</f>
        <v>1</v>
      </c>
      <c r="E139">
        <f>'Exp 2.2 - DBD_Freq_sweep'!E38</f>
        <v>30</v>
      </c>
      <c r="F139">
        <f>'Exp 2.2 - DBD_Freq_sweep'!G38</f>
        <v>100</v>
      </c>
      <c r="G139">
        <f>'Exp 2.2 - DBD_Freq_sweep'!H38</f>
        <v>2</v>
      </c>
      <c r="H139">
        <f>'Exp 2.2 - DBD_Freq_sweep'!I38</f>
        <v>2</v>
      </c>
      <c r="I139">
        <f>'Exp 2.2 - DBD_Freq_sweep'!L38</f>
        <v>0.51</v>
      </c>
      <c r="J139">
        <f>'Exp 2.2 - DBD_Freq_sweep'!M38</f>
        <v>1.02</v>
      </c>
      <c r="K139">
        <f>'Exp 2.2 - DBD_Freq_sweep'!N38</f>
        <v>0.13600000000000001</v>
      </c>
      <c r="L139">
        <f>'Exp 2.2 - DBD_Freq_sweep'!O38</f>
        <v>4.1000000000000002E-2</v>
      </c>
      <c r="M139">
        <f>'Exp 2.2 - DBD_Freq_sweep'!P38</f>
        <v>5.59</v>
      </c>
      <c r="N139">
        <f>'Exp 2.2 - DBD_Freq_sweep'!S38</f>
        <v>0.22919</v>
      </c>
      <c r="O139" t="str">
        <f>'Exp 2.2 - DBD_Freq_sweep'!U38</f>
        <v/>
      </c>
      <c r="P139" t="str">
        <f>'Exp 2.2 - DBD_Freq_sweep'!V38</f>
        <v/>
      </c>
      <c r="Q139">
        <f>'Exp 2.2 - DBD_Freq_sweep'!X38</f>
        <v>0</v>
      </c>
      <c r="R139" t="str">
        <f t="shared" si="8"/>
        <v/>
      </c>
      <c r="S139">
        <f>'Exp 2.2 - DBD_Freq_sweep'!AA38</f>
        <v>0</v>
      </c>
      <c r="T139">
        <f>'Exp 2.2 - DBD_Freq_sweep'!AM38</f>
        <v>28</v>
      </c>
      <c r="U139">
        <f>'Exp 2.2 - DBD_Freq_sweep'!AO38</f>
        <v>0</v>
      </c>
      <c r="V139">
        <f>IF($L139="","",$L139*Equipment!$B$16/100)</f>
        <v>1.23E-3</v>
      </c>
      <c r="W139" t="str">
        <f>IF($P139="","",$P139*Equipment!$B$19/100)</f>
        <v/>
      </c>
      <c r="X139" t="str">
        <f t="shared" si="9"/>
        <v/>
      </c>
      <c r="Y139">
        <f>'Exp 2.2 - DBD_Freq_sweep'!AR38</f>
        <v>0</v>
      </c>
    </row>
    <row r="140" spans="1:25" x14ac:dyDescent="0.3">
      <c r="A140" t="s">
        <v>19</v>
      </c>
      <c r="B140" t="str">
        <f>'Exp 2.2 - DBD_Freq_sweep'!A39</f>
        <v>BLOCK 3</v>
      </c>
      <c r="C140" t="str">
        <f>'Exp 2.2 - DBD_Freq_sweep'!C39</f>
        <v>SQUARE</v>
      </c>
      <c r="D140">
        <f>'Exp 2.2 - DBD_Freq_sweep'!D39</f>
        <v>1</v>
      </c>
      <c r="E140">
        <f>'Exp 2.2 - DBD_Freq_sweep'!E39</f>
        <v>45</v>
      </c>
      <c r="F140">
        <f>'Exp 2.2 - DBD_Freq_sweep'!G39</f>
        <v>100</v>
      </c>
      <c r="G140">
        <f>'Exp 2.2 - DBD_Freq_sweep'!H39</f>
        <v>2</v>
      </c>
      <c r="H140">
        <f>'Exp 2.2 - DBD_Freq_sweep'!I39</f>
        <v>2</v>
      </c>
      <c r="I140">
        <f>'Exp 2.2 - DBD_Freq_sweep'!L39</f>
        <v>0.48</v>
      </c>
      <c r="J140">
        <f>'Exp 2.2 - DBD_Freq_sweep'!M39</f>
        <v>0.96</v>
      </c>
      <c r="K140">
        <f>'Exp 2.2 - DBD_Freq_sweep'!N39</f>
        <v>7.9000000000000001E-2</v>
      </c>
      <c r="L140">
        <f>'Exp 2.2 - DBD_Freq_sweep'!O39</f>
        <v>2.5000000000000001E-2</v>
      </c>
      <c r="M140">
        <f>'Exp 2.2 - DBD_Freq_sweep'!P39</f>
        <v>5.09</v>
      </c>
      <c r="N140">
        <f>'Exp 2.2 - DBD_Freq_sweep'!S39</f>
        <v>0.12725</v>
      </c>
      <c r="O140" t="str">
        <f>'Exp 2.2 - DBD_Freq_sweep'!U39</f>
        <v/>
      </c>
      <c r="P140" t="str">
        <f>'Exp 2.2 - DBD_Freq_sweep'!V39</f>
        <v/>
      </c>
      <c r="Q140">
        <f>'Exp 2.2 - DBD_Freq_sweep'!X39</f>
        <v>0</v>
      </c>
      <c r="R140" t="str">
        <f t="shared" si="8"/>
        <v/>
      </c>
      <c r="S140">
        <f>'Exp 2.2 - DBD_Freq_sweep'!AA39</f>
        <v>0</v>
      </c>
      <c r="T140">
        <f>'Exp 2.2 - DBD_Freq_sweep'!AM39</f>
        <v>28</v>
      </c>
      <c r="U140">
        <f>'Exp 2.2 - DBD_Freq_sweep'!AO39</f>
        <v>0</v>
      </c>
      <c r="V140">
        <f>IF($L140="","",$L140*Equipment!$B$16/100)</f>
        <v>7.5000000000000012E-4</v>
      </c>
      <c r="W140" t="str">
        <f>IF($P140="","",$P140*Equipment!$B$19/100)</f>
        <v/>
      </c>
      <c r="X140" t="str">
        <f t="shared" si="9"/>
        <v/>
      </c>
      <c r="Y140">
        <f>'Exp 2.2 - DBD_Freq_sweep'!AR39</f>
        <v>0</v>
      </c>
    </row>
    <row r="141" spans="1:25" x14ac:dyDescent="0.3">
      <c r="A141" t="s">
        <v>19</v>
      </c>
      <c r="B141" t="str">
        <f>'Exp 2.2 - DBD_Freq_sweep'!A40</f>
        <v>BLOCK 3</v>
      </c>
      <c r="C141" t="str">
        <f>'Exp 2.2 - DBD_Freq_sweep'!C40</f>
        <v>SQUARE</v>
      </c>
      <c r="D141">
        <f>'Exp 2.2 - DBD_Freq_sweep'!D40</f>
        <v>1</v>
      </c>
      <c r="E141">
        <f>'Exp 2.2 - DBD_Freq_sweep'!E40</f>
        <v>60</v>
      </c>
      <c r="F141">
        <f>'Exp 2.2 - DBD_Freq_sweep'!G40</f>
        <v>100</v>
      </c>
      <c r="G141">
        <f>'Exp 2.2 - DBD_Freq_sweep'!H40</f>
        <v>2</v>
      </c>
      <c r="H141">
        <f>'Exp 2.2 - DBD_Freq_sweep'!I40</f>
        <v>2</v>
      </c>
      <c r="I141">
        <f>'Exp 2.2 - DBD_Freq_sweep'!L40</f>
        <v>0.42</v>
      </c>
      <c r="J141">
        <f>'Exp 2.2 - DBD_Freq_sweep'!M40</f>
        <v>0.84</v>
      </c>
      <c r="K141">
        <f>'Exp 2.2 - DBD_Freq_sweep'!N40</f>
        <v>6.2E-2</v>
      </c>
      <c r="L141">
        <f>'Exp 2.2 - DBD_Freq_sweep'!O40</f>
        <v>1.7999999999999999E-2</v>
      </c>
      <c r="M141">
        <f>'Exp 2.2 - DBD_Freq_sweep'!P40</f>
        <v>4.7699999999999996</v>
      </c>
      <c r="N141">
        <f>'Exp 2.2 - DBD_Freq_sweep'!S40</f>
        <v>8.5859999999999992E-2</v>
      </c>
      <c r="O141" t="str">
        <f>'Exp 2.2 - DBD_Freq_sweep'!U40</f>
        <v/>
      </c>
      <c r="P141" t="str">
        <f>'Exp 2.2 - DBD_Freq_sweep'!V40</f>
        <v/>
      </c>
      <c r="Q141">
        <f>'Exp 2.2 - DBD_Freq_sweep'!X40</f>
        <v>0</v>
      </c>
      <c r="R141" t="str">
        <f t="shared" si="8"/>
        <v/>
      </c>
      <c r="S141">
        <f>'Exp 2.2 - DBD_Freq_sweep'!AA40</f>
        <v>0</v>
      </c>
      <c r="T141">
        <f>'Exp 2.2 - DBD_Freq_sweep'!AM40</f>
        <v>28</v>
      </c>
      <c r="U141">
        <f>'Exp 2.2 - DBD_Freq_sweep'!AO40</f>
        <v>0</v>
      </c>
      <c r="V141">
        <f>IF($L141="","",$L141*Equipment!$B$16/100)</f>
        <v>5.399999999999999E-4</v>
      </c>
      <c r="W141" t="str">
        <f>IF($P141="","",$P141*Equipment!$B$19/100)</f>
        <v/>
      </c>
      <c r="X141" t="str">
        <f t="shared" si="9"/>
        <v/>
      </c>
      <c r="Y141">
        <f>'Exp 2.2 - DBD_Freq_sweep'!AR40</f>
        <v>0</v>
      </c>
    </row>
    <row r="142" spans="1:25" x14ac:dyDescent="0.3">
      <c r="A142" t="s">
        <v>20</v>
      </c>
      <c r="B142" t="str">
        <f>'Exp 2.3 - DBD_DutyCycle_sweep'!A5</f>
        <v>BLOCK 1</v>
      </c>
      <c r="C142" t="str">
        <f>'Exp 2.3 - DBD_DutyCycle_sweep'!C5</f>
        <v>SQUARE</v>
      </c>
      <c r="D142">
        <f>'Exp 2.3 - DBD_DutyCycle_sweep'!D5</f>
        <v>3</v>
      </c>
      <c r="E142">
        <f>'Exp 2.3 - DBD_DutyCycle_sweep'!E5</f>
        <v>5</v>
      </c>
      <c r="F142">
        <f>'Exp 2.3 - DBD_DutyCycle_sweep'!G5</f>
        <v>100</v>
      </c>
      <c r="G142">
        <f>'Exp 2.3 - DBD_DutyCycle_sweep'!H5</f>
        <v>2</v>
      </c>
      <c r="H142">
        <f>'Exp 2.3 - DBD_DutyCycle_sweep'!I5</f>
        <v>1.9970000000000001</v>
      </c>
      <c r="I142">
        <f>'Exp 2.3 - DBD_DutyCycle_sweep'!L5</f>
        <v>0.16</v>
      </c>
      <c r="J142">
        <f>'Exp 2.3 - DBD_DutyCycle_sweep'!M5</f>
        <v>0.32</v>
      </c>
      <c r="K142">
        <f>'Exp 2.3 - DBD_DutyCycle_sweep'!N5</f>
        <v>3.55</v>
      </c>
      <c r="L142">
        <f>'Exp 2.3 - DBD_DutyCycle_sweep'!O5</f>
        <v>1.24</v>
      </c>
      <c r="M142">
        <f>'Exp 2.3 - DBD_DutyCycle_sweep'!P5</f>
        <v>0.50700000000000001</v>
      </c>
      <c r="N142">
        <f>'Exp 2.3 - DBD_DutyCycle_sweep'!S5</f>
        <v>0.62868000000000002</v>
      </c>
      <c r="O142">
        <f>'Exp 2.3 - DBD_DutyCycle_sweep'!U5</f>
        <v>0.39233711660356135</v>
      </c>
      <c r="P142">
        <f>'Exp 2.3 - DBD_DutyCycle_sweep'!V5</f>
        <v>0.24699675620979272</v>
      </c>
      <c r="Q142">
        <f>'Exp 2.3 - DBD_DutyCycle_sweep'!X5</f>
        <v>0</v>
      </c>
      <c r="R142">
        <f t="shared" si="8"/>
        <v>77.186486315560217</v>
      </c>
      <c r="S142">
        <f>'Exp 2.3 - DBD_DutyCycle_sweep'!AA5</f>
        <v>0.13453636291220758</v>
      </c>
      <c r="T142">
        <f>'Exp 2.3 - DBD_DutyCycle_sweep'!AM5</f>
        <v>25</v>
      </c>
      <c r="U142">
        <f>'Exp 2.3 - DBD_DutyCycle_sweep'!AO5</f>
        <v>0</v>
      </c>
      <c r="V142">
        <f>IF($L142="","",$L142*Equipment!$B$16/100)</f>
        <v>3.7199999999999997E-2</v>
      </c>
      <c r="W142">
        <f>IF($P142="","",$P142*Equipment!$B$19/100)</f>
        <v>1.4819805372587562E-2</v>
      </c>
      <c r="X142" t="str">
        <f t="shared" si="9"/>
        <v>ok</v>
      </c>
      <c r="Y142">
        <f>'Exp 2.3 - DBD_DutyCycle_sweep'!AR5</f>
        <v>0</v>
      </c>
    </row>
    <row r="143" spans="1:25" x14ac:dyDescent="0.3">
      <c r="A143" t="s">
        <v>20</v>
      </c>
      <c r="B143" t="str">
        <f>'Exp 2.3 - DBD_DutyCycle_sweep'!A6</f>
        <v>BLOCK 1</v>
      </c>
      <c r="C143" t="str">
        <f>'Exp 2.3 - DBD_DutyCycle_sweep'!C6</f>
        <v>SQUARE</v>
      </c>
      <c r="D143">
        <f>'Exp 2.3 - DBD_DutyCycle_sweep'!D6</f>
        <v>3</v>
      </c>
      <c r="E143">
        <f>'Exp 2.3 - DBD_DutyCycle_sweep'!E6</f>
        <v>5</v>
      </c>
      <c r="F143">
        <f>'Exp 2.3 - DBD_DutyCycle_sweep'!G6</f>
        <v>90</v>
      </c>
      <c r="G143">
        <f>'Exp 2.3 - DBD_DutyCycle_sweep'!H6</f>
        <v>2</v>
      </c>
      <c r="H143">
        <f>'Exp 2.3 - DBD_DutyCycle_sweep'!I6</f>
        <v>1.9975000000000001</v>
      </c>
      <c r="I143">
        <f>'Exp 2.3 - DBD_DutyCycle_sweep'!L6</f>
        <v>0.14000000000000001</v>
      </c>
      <c r="J143">
        <f>'Exp 2.3 - DBD_DutyCycle_sweep'!M6</f>
        <v>0.28000000000000003</v>
      </c>
      <c r="K143">
        <f>'Exp 2.3 - DBD_DutyCycle_sweep'!N6</f>
        <v>3.43</v>
      </c>
      <c r="L143">
        <f>'Exp 2.3 - DBD_DutyCycle_sweep'!O6</f>
        <v>1.23</v>
      </c>
      <c r="M143">
        <f>'Exp 2.3 - DBD_DutyCycle_sweep'!P6</f>
        <v>0.47499999999999998</v>
      </c>
      <c r="N143">
        <f>'Exp 2.3 - DBD_DutyCycle_sweep'!S6</f>
        <v>0.58424999999999994</v>
      </c>
      <c r="O143">
        <f>'Exp 2.3 - DBD_DutyCycle_sweep'!U6</f>
        <v>0.40833046038138476</v>
      </c>
      <c r="P143">
        <f>'Exp 2.3 - DBD_DutyCycle_sweep'!V6</f>
        <v>0.23887800545433713</v>
      </c>
      <c r="Q143">
        <f>'Exp 2.3 - DBD_DutyCycle_sweep'!X6</f>
        <v>0</v>
      </c>
      <c r="R143">
        <f t="shared" si="8"/>
        <v>85.313573376548973</v>
      </c>
      <c r="S143">
        <f>'Exp 2.3 - DBD_DutyCycle_sweep'!AA6</f>
        <v>0.13443711203778075</v>
      </c>
      <c r="T143">
        <f>'Exp 2.3 - DBD_DutyCycle_sweep'!AM6</f>
        <v>25</v>
      </c>
      <c r="U143">
        <f>'Exp 2.3 - DBD_DutyCycle_sweep'!AO6</f>
        <v>0</v>
      </c>
      <c r="V143">
        <f>IF($L143="","",$L143*Equipment!$B$16/100)</f>
        <v>3.6900000000000002E-2</v>
      </c>
      <c r="W143">
        <f>IF($P143="","",$P143*Equipment!$B$19/100)</f>
        <v>1.4332680327260228E-2</v>
      </c>
      <c r="X143" t="str">
        <f t="shared" si="9"/>
        <v>ok</v>
      </c>
      <c r="Y143">
        <f>'Exp 2.3 - DBD_DutyCycle_sweep'!AR6</f>
        <v>0</v>
      </c>
    </row>
    <row r="144" spans="1:25" x14ac:dyDescent="0.3">
      <c r="A144" t="s">
        <v>20</v>
      </c>
      <c r="B144" t="str">
        <f>'Exp 2.3 - DBD_DutyCycle_sweep'!A7</f>
        <v>BLOCK 1</v>
      </c>
      <c r="C144" t="str">
        <f>'Exp 2.3 - DBD_DutyCycle_sweep'!C7</f>
        <v>SQUARE</v>
      </c>
      <c r="D144">
        <f>'Exp 2.3 - DBD_DutyCycle_sweep'!D7</f>
        <v>3</v>
      </c>
      <c r="E144">
        <f>'Exp 2.3 - DBD_DutyCycle_sweep'!E7</f>
        <v>5</v>
      </c>
      <c r="F144">
        <f>'Exp 2.3 - DBD_DutyCycle_sweep'!G7</f>
        <v>80</v>
      </c>
      <c r="G144">
        <f>'Exp 2.3 - DBD_DutyCycle_sweep'!H7</f>
        <v>2</v>
      </c>
      <c r="H144">
        <f>'Exp 2.3 - DBD_DutyCycle_sweep'!I7</f>
        <v>1.998</v>
      </c>
      <c r="I144">
        <f>'Exp 2.3 - DBD_DutyCycle_sweep'!L7</f>
        <v>0.12</v>
      </c>
      <c r="J144">
        <f>'Exp 2.3 - DBD_DutyCycle_sweep'!M7</f>
        <v>0.24</v>
      </c>
      <c r="K144">
        <f>'Exp 2.3 - DBD_DutyCycle_sweep'!N7</f>
        <v>3.43</v>
      </c>
      <c r="L144">
        <f>'Exp 2.3 - DBD_DutyCycle_sweep'!O7</f>
        <v>1.22</v>
      </c>
      <c r="M144">
        <f>'Exp 2.3 - DBD_DutyCycle_sweep'!P7</f>
        <v>0.43</v>
      </c>
      <c r="N144">
        <f>'Exp 2.3 - DBD_DutyCycle_sweep'!S7</f>
        <v>0.52459999999999996</v>
      </c>
      <c r="O144">
        <f>'Exp 2.3 - DBD_DutyCycle_sweep'!U7</f>
        <v>0.43208574880198231</v>
      </c>
      <c r="P144">
        <f>'Exp 2.3 - DBD_DutyCycle_sweep'!V7</f>
        <v>0.22694172775225316</v>
      </c>
      <c r="Q144">
        <f>'Exp 2.3 - DBD_DutyCycle_sweep'!X7</f>
        <v>0</v>
      </c>
      <c r="R144">
        <f t="shared" si="8"/>
        <v>94.559053230105476</v>
      </c>
      <c r="S144">
        <f>'Exp 2.3 - DBD_DutyCycle_sweep'!AA7</f>
        <v>0.12130196279150954</v>
      </c>
      <c r="T144">
        <f>'Exp 2.3 - DBD_DutyCycle_sweep'!AM7</f>
        <v>25</v>
      </c>
      <c r="U144">
        <f>'Exp 2.3 - DBD_DutyCycle_sweep'!AO7</f>
        <v>0</v>
      </c>
      <c r="V144">
        <f>IF($L144="","",$L144*Equipment!$B$16/100)</f>
        <v>3.6600000000000001E-2</v>
      </c>
      <c r="W144">
        <f>IF($P144="","",$P144*Equipment!$B$19/100)</f>
        <v>1.3616503665135189E-2</v>
      </c>
      <c r="X144" t="str">
        <f t="shared" si="9"/>
        <v>△ à surveiller (&gt;90%)</v>
      </c>
      <c r="Y144">
        <f>'Exp 2.3 - DBD_DutyCycle_sweep'!AR7</f>
        <v>0</v>
      </c>
    </row>
    <row r="145" spans="1:25" x14ac:dyDescent="0.3">
      <c r="A145" t="s">
        <v>20</v>
      </c>
      <c r="B145" t="str">
        <f>'Exp 2.3 - DBD_DutyCycle_sweep'!A8</f>
        <v>BLOCK 1</v>
      </c>
      <c r="C145" t="str">
        <f>'Exp 2.3 - DBD_DutyCycle_sweep'!C8</f>
        <v>SQUARE</v>
      </c>
      <c r="D145">
        <f>'Exp 2.3 - DBD_DutyCycle_sweep'!D8</f>
        <v>3</v>
      </c>
      <c r="E145">
        <f>'Exp 2.3 - DBD_DutyCycle_sweep'!E8</f>
        <v>5</v>
      </c>
      <c r="F145">
        <f>'Exp 2.3 - DBD_DutyCycle_sweep'!G8</f>
        <v>70</v>
      </c>
      <c r="G145">
        <f>'Exp 2.3 - DBD_DutyCycle_sweep'!H8</f>
        <v>2</v>
      </c>
      <c r="H145">
        <f>'Exp 2.3 - DBD_DutyCycle_sweep'!I8</f>
        <v>1.9976</v>
      </c>
      <c r="I145">
        <f>'Exp 2.3 - DBD_DutyCycle_sweep'!L8</f>
        <v>0.12</v>
      </c>
      <c r="J145">
        <f>'Exp 2.3 - DBD_DutyCycle_sweep'!M8</f>
        <v>0.24</v>
      </c>
      <c r="K145">
        <f>'Exp 2.3 - DBD_DutyCycle_sweep'!N8</f>
        <v>3.36</v>
      </c>
      <c r="L145">
        <f>'Exp 2.3 - DBD_DutyCycle_sweep'!O8</f>
        <v>1.2010000000000001</v>
      </c>
      <c r="M145">
        <f>'Exp 2.3 - DBD_DutyCycle_sweep'!P8</f>
        <v>0.39500000000000002</v>
      </c>
      <c r="N145">
        <f>'Exp 2.3 - DBD_DutyCycle_sweep'!S8</f>
        <v>0.47439500000000007</v>
      </c>
      <c r="O145">
        <f>'Exp 2.3 - DBD_DutyCycle_sweep'!U8</f>
        <v>0.45554490723351548</v>
      </c>
      <c r="P145">
        <f>'Exp 2.3 - DBD_DutyCycle_sweep'!V8</f>
        <v>0.21634322825443086</v>
      </c>
      <c r="Q145">
        <f>'Exp 2.3 - DBD_DutyCycle_sweep'!X8</f>
        <v>0</v>
      </c>
      <c r="R145">
        <f t="shared" si="8"/>
        <v>90.143011772679529</v>
      </c>
      <c r="S145">
        <f>'Exp 2.3 - DBD_DutyCycle_sweep'!AA8</f>
        <v>0.10989946578045898</v>
      </c>
      <c r="T145">
        <f>'Exp 2.3 - DBD_DutyCycle_sweep'!AM8</f>
        <v>24</v>
      </c>
      <c r="U145">
        <f>'Exp 2.3 - DBD_DutyCycle_sweep'!AO8</f>
        <v>0</v>
      </c>
      <c r="V145">
        <f>IF($L145="","",$L145*Equipment!$B$16/100)</f>
        <v>3.603E-2</v>
      </c>
      <c r="W145">
        <f>IF($P145="","",$P145*Equipment!$B$19/100)</f>
        <v>1.2980593695265852E-2</v>
      </c>
      <c r="X145" t="str">
        <f t="shared" si="9"/>
        <v>△ à surveiller (&gt;90%)</v>
      </c>
      <c r="Y145">
        <f>'Exp 2.3 - DBD_DutyCycle_sweep'!AR8</f>
        <v>0</v>
      </c>
    </row>
    <row r="146" spans="1:25" x14ac:dyDescent="0.3">
      <c r="A146" t="s">
        <v>20</v>
      </c>
      <c r="B146" t="str">
        <f>'Exp 2.3 - DBD_DutyCycle_sweep'!A9</f>
        <v>BLOCK 1</v>
      </c>
      <c r="C146" t="str">
        <f>'Exp 2.3 - DBD_DutyCycle_sweep'!C9</f>
        <v>SQUARE</v>
      </c>
      <c r="D146">
        <f>'Exp 2.3 - DBD_DutyCycle_sweep'!D9</f>
        <v>3</v>
      </c>
      <c r="E146">
        <f>'Exp 2.3 - DBD_DutyCycle_sweep'!E9</f>
        <v>5</v>
      </c>
      <c r="F146">
        <f>'Exp 2.3 - DBD_DutyCycle_sweep'!G9</f>
        <v>60</v>
      </c>
      <c r="G146">
        <f>'Exp 2.3 - DBD_DutyCycle_sweep'!H9</f>
        <v>2</v>
      </c>
      <c r="H146">
        <f>'Exp 2.3 - DBD_DutyCycle_sweep'!I9</f>
        <v>1.9981</v>
      </c>
      <c r="I146">
        <f>'Exp 2.3 - DBD_DutyCycle_sweep'!L9</f>
        <v>0.11</v>
      </c>
      <c r="J146">
        <f>'Exp 2.3 - DBD_DutyCycle_sweep'!M9</f>
        <v>0.22</v>
      </c>
      <c r="K146">
        <f>'Exp 2.3 - DBD_DutyCycle_sweep'!N9</f>
        <v>3.28</v>
      </c>
      <c r="L146">
        <f>'Exp 2.3 - DBD_DutyCycle_sweep'!O9</f>
        <v>1.1839999999999999</v>
      </c>
      <c r="M146">
        <f>'Exp 2.3 - DBD_DutyCycle_sweep'!P9</f>
        <v>0.36399999999999999</v>
      </c>
      <c r="N146">
        <f>'Exp 2.3 - DBD_DutyCycle_sweep'!S9</f>
        <v>0.43097599999999997</v>
      </c>
      <c r="O146">
        <f>'Exp 2.3 - DBD_DutyCycle_sweep'!U9</f>
        <v>0.48175367410171516</v>
      </c>
      <c r="P146">
        <f>'Exp 2.3 - DBD_DutyCycle_sweep'!V9</f>
        <v>0.20782874859851097</v>
      </c>
      <c r="Q146">
        <f>'Exp 2.3 - DBD_DutyCycle_sweep'!X9</f>
        <v>0</v>
      </c>
      <c r="R146">
        <f t="shared" si="8"/>
        <v>94.467612999323165</v>
      </c>
      <c r="S146">
        <f>'Exp 2.3 - DBD_DutyCycle_sweep'!AA9</f>
        <v>0.10503514783016818</v>
      </c>
      <c r="T146">
        <f>'Exp 2.3 - DBD_DutyCycle_sweep'!AM9</f>
        <v>24</v>
      </c>
      <c r="U146">
        <f>'Exp 2.3 - DBD_DutyCycle_sweep'!AO9</f>
        <v>0</v>
      </c>
      <c r="V146">
        <f>IF($L146="","",$L146*Equipment!$B$16/100)</f>
        <v>3.5519999999999996E-2</v>
      </c>
      <c r="W146">
        <f>IF($P146="","",$P146*Equipment!$B$19/100)</f>
        <v>1.2469724915910658E-2</v>
      </c>
      <c r="X146" t="str">
        <f t="shared" si="9"/>
        <v>△ à surveiller (&gt;90%)</v>
      </c>
      <c r="Y146">
        <f>'Exp 2.3 - DBD_DutyCycle_sweep'!AR9</f>
        <v>0</v>
      </c>
    </row>
    <row r="147" spans="1:25" x14ac:dyDescent="0.3">
      <c r="A147" t="s">
        <v>20</v>
      </c>
      <c r="B147" t="str">
        <f>'Exp 2.3 - DBD_DutyCycle_sweep'!A10</f>
        <v>BLOCK 1</v>
      </c>
      <c r="C147" t="str">
        <f>'Exp 2.3 - DBD_DutyCycle_sweep'!C10</f>
        <v>SQUARE</v>
      </c>
      <c r="D147">
        <f>'Exp 2.3 - DBD_DutyCycle_sweep'!D10</f>
        <v>3</v>
      </c>
      <c r="E147">
        <f>'Exp 2.3 - DBD_DutyCycle_sweep'!E10</f>
        <v>5</v>
      </c>
      <c r="F147">
        <f>'Exp 2.3 - DBD_DutyCycle_sweep'!G10</f>
        <v>50</v>
      </c>
      <c r="G147">
        <f>'Exp 2.3 - DBD_DutyCycle_sweep'!H10</f>
        <v>2</v>
      </c>
      <c r="H147">
        <f>'Exp 2.3 - DBD_DutyCycle_sweep'!I10</f>
        <v>1.9982</v>
      </c>
      <c r="I147">
        <f>'Exp 2.3 - DBD_DutyCycle_sweep'!L10</f>
        <v>0.1</v>
      </c>
      <c r="J147">
        <f>'Exp 2.3 - DBD_DutyCycle_sweep'!M10</f>
        <v>0.2</v>
      </c>
      <c r="K147">
        <f>'Exp 2.3 - DBD_DutyCycle_sweep'!N10</f>
        <v>3.2</v>
      </c>
      <c r="L147">
        <f>'Exp 2.3 - DBD_DutyCycle_sweep'!O10</f>
        <v>1.165</v>
      </c>
      <c r="M147">
        <f>'Exp 2.3 - DBD_DutyCycle_sweep'!P10</f>
        <v>0.34100000000000003</v>
      </c>
      <c r="N147">
        <f>'Exp 2.3 - DBD_DutyCycle_sweep'!S10</f>
        <v>0.39726500000000003</v>
      </c>
      <c r="O147">
        <f>'Exp 2.3 - DBD_DutyCycle_sweep'!U10</f>
        <v>0.5075383629607042</v>
      </c>
      <c r="P147">
        <f>'Exp 2.3 - DBD_DutyCycle_sweep'!V10</f>
        <v>0.20180740466294539</v>
      </c>
      <c r="Q147">
        <f>'Exp 2.3 - DBD_DutyCycle_sweep'!X10</f>
        <v>0</v>
      </c>
      <c r="R147">
        <f t="shared" si="8"/>
        <v>100.90370233147267</v>
      </c>
      <c r="S147">
        <f>'Exp 2.3 - DBD_DutyCycle_sweep'!AA10</f>
        <v>0.10599798410900571</v>
      </c>
      <c r="T147">
        <f>'Exp 2.3 - DBD_DutyCycle_sweep'!AM10</f>
        <v>24</v>
      </c>
      <c r="U147">
        <f>'Exp 2.3 - DBD_DutyCycle_sweep'!AO10</f>
        <v>0</v>
      </c>
      <c r="V147">
        <f>IF($L147="","",$L147*Equipment!$B$16/100)</f>
        <v>3.4950000000000002E-2</v>
      </c>
      <c r="W147">
        <f>IF($P147="","",$P147*Equipment!$B$19/100)</f>
        <v>1.2108444279776722E-2</v>
      </c>
      <c r="X147" t="str">
        <f t="shared" si="9"/>
        <v>△ à surveiller (&gt;90%)</v>
      </c>
      <c r="Y147">
        <f>'Exp 2.3 - DBD_DutyCycle_sweep'!AR10</f>
        <v>0</v>
      </c>
    </row>
    <row r="148" spans="1:25" x14ac:dyDescent="0.3">
      <c r="A148" t="s">
        <v>20</v>
      </c>
      <c r="B148" t="str">
        <f>'Exp 2.3 - DBD_DutyCycle_sweep'!A11</f>
        <v>BLOCK 1</v>
      </c>
      <c r="C148" t="str">
        <f>'Exp 2.3 - DBD_DutyCycle_sweep'!C11</f>
        <v>SQUARE</v>
      </c>
      <c r="D148">
        <f>'Exp 2.3 - DBD_DutyCycle_sweep'!D11</f>
        <v>3</v>
      </c>
      <c r="E148">
        <f>'Exp 2.3 - DBD_DutyCycle_sweep'!E11</f>
        <v>5</v>
      </c>
      <c r="F148">
        <f>'Exp 2.3 - DBD_DutyCycle_sweep'!G11</f>
        <v>40</v>
      </c>
      <c r="G148">
        <f>'Exp 2.3 - DBD_DutyCycle_sweep'!H11</f>
        <v>2</v>
      </c>
      <c r="H148">
        <f>'Exp 2.3 - DBD_DutyCycle_sweep'!I11</f>
        <v>1.998</v>
      </c>
      <c r="I148">
        <f>'Exp 2.3 - DBD_DutyCycle_sweep'!L11</f>
        <v>0.09</v>
      </c>
      <c r="J148">
        <f>'Exp 2.3 - DBD_DutyCycle_sweep'!M11</f>
        <v>0.18</v>
      </c>
      <c r="K148">
        <f>'Exp 2.3 - DBD_DutyCycle_sweep'!N11</f>
        <v>3.09</v>
      </c>
      <c r="L148">
        <f>'Exp 2.3 - DBD_DutyCycle_sweep'!O11</f>
        <v>1.1359999999999999</v>
      </c>
      <c r="M148">
        <f>'Exp 2.3 - DBD_DutyCycle_sweep'!P11</f>
        <v>0.32900000000000001</v>
      </c>
      <c r="N148">
        <f>'Exp 2.3 - DBD_DutyCycle_sweep'!S11</f>
        <v>0.37374399999999997</v>
      </c>
      <c r="O148">
        <f>'Exp 2.3 - DBD_DutyCycle_sweep'!U11</f>
        <v>0.51503807491005438</v>
      </c>
      <c r="P148">
        <f>'Exp 2.3 - DBD_DutyCycle_sweep'!V11</f>
        <v>0.19265960422376049</v>
      </c>
      <c r="Q148">
        <f>'Exp 2.3 - DBD_DutyCycle_sweep'!X11</f>
        <v>0</v>
      </c>
      <c r="R148">
        <f t="shared" si="8"/>
        <v>107.03311345764473</v>
      </c>
      <c r="S148">
        <f>'Exp 2.3 - DBD_DutyCycle_sweep'!AA11</f>
        <v>0.11198862759310788</v>
      </c>
      <c r="T148">
        <f>'Exp 2.3 - DBD_DutyCycle_sweep'!AM11</f>
        <v>24</v>
      </c>
      <c r="U148">
        <f>'Exp 2.3 - DBD_DutyCycle_sweep'!AO11</f>
        <v>0</v>
      </c>
      <c r="V148">
        <f>IF($L148="","",$L148*Equipment!$B$16/100)</f>
        <v>3.4079999999999992E-2</v>
      </c>
      <c r="W148">
        <f>IF($P148="","",$P148*Equipment!$B$19/100)</f>
        <v>1.155957625342563E-2</v>
      </c>
      <c r="X148" t="str">
        <f t="shared" si="9"/>
        <v>⚠ suspect (déphasage/deskew probable)</v>
      </c>
      <c r="Y148">
        <f>'Exp 2.3 - DBD_DutyCycle_sweep'!AR11</f>
        <v>0</v>
      </c>
    </row>
    <row r="149" spans="1:25" x14ac:dyDescent="0.3">
      <c r="A149" t="s">
        <v>20</v>
      </c>
      <c r="B149" t="str">
        <f>'Exp 2.3 - DBD_DutyCycle_sweep'!A12</f>
        <v>BLOCK 1</v>
      </c>
      <c r="C149" t="str">
        <f>'Exp 2.3 - DBD_DutyCycle_sweep'!C12</f>
        <v>SQUARE</v>
      </c>
      <c r="D149">
        <f>'Exp 2.3 - DBD_DutyCycle_sweep'!D12</f>
        <v>3</v>
      </c>
      <c r="E149">
        <f>'Exp 2.3 - DBD_DutyCycle_sweep'!E12</f>
        <v>5</v>
      </c>
      <c r="F149">
        <f>'Exp 2.3 - DBD_DutyCycle_sweep'!G12</f>
        <v>30</v>
      </c>
      <c r="G149">
        <f>'Exp 2.3 - DBD_DutyCycle_sweep'!H12</f>
        <v>2</v>
      </c>
      <c r="H149">
        <f>'Exp 2.3 - DBD_DutyCycle_sweep'!I12</f>
        <v>1.9984</v>
      </c>
      <c r="I149">
        <f>'Exp 2.3 - DBD_DutyCycle_sweep'!L12</f>
        <v>0.09</v>
      </c>
      <c r="J149">
        <f>'Exp 2.3 - DBD_DutyCycle_sweep'!M12</f>
        <v>0.18</v>
      </c>
      <c r="K149">
        <f>'Exp 2.3 - DBD_DutyCycle_sweep'!N12</f>
        <v>2.94</v>
      </c>
      <c r="L149">
        <f>'Exp 2.3 - DBD_DutyCycle_sweep'!O12</f>
        <v>1.089</v>
      </c>
      <c r="M149">
        <f>'Exp 2.3 - DBD_DutyCycle_sweep'!P12</f>
        <v>0.32100000000000001</v>
      </c>
      <c r="N149">
        <f>'Exp 2.3 - DBD_DutyCycle_sweep'!S12</f>
        <v>0.34956900000000002</v>
      </c>
      <c r="O149">
        <f>'Exp 2.3 - DBD_DutyCycle_sweep'!U12</f>
        <v>0.50452762381501925</v>
      </c>
      <c r="P149">
        <f>'Exp 2.3 - DBD_DutyCycle_sweep'!V12</f>
        <v>0.17652662078305323</v>
      </c>
      <c r="Q149">
        <f>'Exp 2.3 - DBD_DutyCycle_sweep'!X12</f>
        <v>0</v>
      </c>
      <c r="R149">
        <f t="shared" si="8"/>
        <v>98.070344879474021</v>
      </c>
      <c r="S149">
        <f>'Exp 2.3 - DBD_DutyCycle_sweep'!AA12</f>
        <v>0.11957337834496759</v>
      </c>
      <c r="T149">
        <f>'Exp 2.3 - DBD_DutyCycle_sweep'!AM12</f>
        <v>24</v>
      </c>
      <c r="U149">
        <f>'Exp 2.3 - DBD_DutyCycle_sweep'!AO12</f>
        <v>0</v>
      </c>
      <c r="V149">
        <f>IF($L149="","",$L149*Equipment!$B$16/100)</f>
        <v>3.2669999999999998E-2</v>
      </c>
      <c r="W149">
        <f>IF($P149="","",$P149*Equipment!$B$19/100)</f>
        <v>1.0591597246983194E-2</v>
      </c>
      <c r="X149" t="str">
        <f t="shared" si="9"/>
        <v>△ à surveiller (&gt;90%)</v>
      </c>
      <c r="Y149">
        <f>'Exp 2.3 - DBD_DutyCycle_sweep'!AR12</f>
        <v>0</v>
      </c>
    </row>
    <row r="150" spans="1:25" x14ac:dyDescent="0.3">
      <c r="A150" t="s">
        <v>20</v>
      </c>
      <c r="B150" t="str">
        <f>'Exp 2.3 - DBD_DutyCycle_sweep'!A13</f>
        <v>BLOCK 1</v>
      </c>
      <c r="C150" t="str">
        <f>'Exp 2.3 - DBD_DutyCycle_sweep'!C13</f>
        <v>SQUARE</v>
      </c>
      <c r="D150">
        <f>'Exp 2.3 - DBD_DutyCycle_sweep'!D13</f>
        <v>3</v>
      </c>
      <c r="E150">
        <f>'Exp 2.3 - DBD_DutyCycle_sweep'!E13</f>
        <v>5</v>
      </c>
      <c r="F150">
        <f>'Exp 2.3 - DBD_DutyCycle_sweep'!G13</f>
        <v>20</v>
      </c>
      <c r="G150">
        <f>'Exp 2.3 - DBD_DutyCycle_sweep'!H13</f>
        <v>2</v>
      </c>
      <c r="H150">
        <f>'Exp 2.3 - DBD_DutyCycle_sweep'!I13</f>
        <v>1.9983</v>
      </c>
      <c r="I150">
        <f>'Exp 2.3 - DBD_DutyCycle_sweep'!L13</f>
        <v>0.09</v>
      </c>
      <c r="J150">
        <f>'Exp 2.3 - DBD_DutyCycle_sweep'!M13</f>
        <v>0.18</v>
      </c>
      <c r="K150">
        <f>'Exp 2.3 - DBD_DutyCycle_sweep'!N13</f>
        <v>2.585</v>
      </c>
      <c r="L150">
        <f>'Exp 2.3 - DBD_DutyCycle_sweep'!O13</f>
        <v>0.93400000000000005</v>
      </c>
      <c r="M150">
        <f>'Exp 2.3 - DBD_DutyCycle_sweep'!P13</f>
        <v>0.29099999999999998</v>
      </c>
      <c r="N150">
        <f>'Exp 2.3 - DBD_DutyCycle_sweep'!S13</f>
        <v>0.27179399999999998</v>
      </c>
      <c r="O150">
        <f>'Exp 2.3 - DBD_DutyCycle_sweep'!U13</f>
        <v>0.46081948465043093</v>
      </c>
      <c r="P150">
        <f>'Exp 2.3 - DBD_DutyCycle_sweep'!V13</f>
        <v>0.12538147319121215</v>
      </c>
      <c r="Q150">
        <f>'Exp 2.3 - DBD_DutyCycle_sweep'!X13</f>
        <v>0</v>
      </c>
      <c r="R150">
        <f t="shared" si="8"/>
        <v>69.65637399511786</v>
      </c>
      <c r="S150">
        <f>'Exp 2.3 - DBD_DutyCycle_sweep'!AA13</f>
        <v>0.13871811234885648</v>
      </c>
      <c r="T150">
        <f>'Exp 2.3 - DBD_DutyCycle_sweep'!AM13</f>
        <v>24</v>
      </c>
      <c r="U150">
        <f>'Exp 2.3 - DBD_DutyCycle_sweep'!AO13</f>
        <v>0</v>
      </c>
      <c r="V150">
        <f>IF($L150="","",$L150*Equipment!$B$16/100)</f>
        <v>2.802E-2</v>
      </c>
      <c r="W150">
        <f>IF($P150="","",$P150*Equipment!$B$19/100)</f>
        <v>7.5228883914727285E-3</v>
      </c>
      <c r="X150" t="str">
        <f t="shared" si="9"/>
        <v>ok</v>
      </c>
      <c r="Y150">
        <f>'Exp 2.3 - DBD_DutyCycle_sweep'!AR13</f>
        <v>0</v>
      </c>
    </row>
    <row r="151" spans="1:25" x14ac:dyDescent="0.3">
      <c r="A151" t="s">
        <v>20</v>
      </c>
      <c r="B151" t="str">
        <f>'Exp 2.3 - DBD_DutyCycle_sweep'!A14</f>
        <v>BLOCK 1</v>
      </c>
      <c r="C151" t="str">
        <f>'Exp 2.3 - DBD_DutyCycle_sweep'!C14</f>
        <v>SQUARE</v>
      </c>
      <c r="D151">
        <f>'Exp 2.3 - DBD_DutyCycle_sweep'!D14</f>
        <v>3</v>
      </c>
      <c r="E151">
        <f>'Exp 2.3 - DBD_DutyCycle_sweep'!E14</f>
        <v>5</v>
      </c>
      <c r="F151">
        <f>'Exp 2.3 - DBD_DutyCycle_sweep'!G14</f>
        <v>10</v>
      </c>
      <c r="G151">
        <f>'Exp 2.3 - DBD_DutyCycle_sweep'!H14</f>
        <v>2</v>
      </c>
      <c r="H151">
        <f>'Exp 2.3 - DBD_DutyCycle_sweep'!I14</f>
        <v>1.9993000000000001</v>
      </c>
      <c r="I151">
        <f>'Exp 2.3 - DBD_DutyCycle_sweep'!L14</f>
        <v>0.08</v>
      </c>
      <c r="J151">
        <f>'Exp 2.3 - DBD_DutyCycle_sweep'!M14</f>
        <v>0.16</v>
      </c>
      <c r="K151">
        <f>'Exp 2.3 - DBD_DutyCycle_sweep'!N14</f>
        <v>0.83699999999999997</v>
      </c>
      <c r="L151">
        <f>'Exp 2.3 - DBD_DutyCycle_sweep'!O14</f>
        <v>0.27800000000000002</v>
      </c>
      <c r="M151">
        <f>'Exp 2.3 - DBD_DutyCycle_sweep'!P14</f>
        <v>0.17399999999999999</v>
      </c>
      <c r="N151">
        <f>'Exp 2.3 - DBD_DutyCycle_sweep'!S14</f>
        <v>4.8371999999999998E-2</v>
      </c>
      <c r="O151">
        <f>'Exp 2.3 - DBD_DutyCycle_sweep'!U14</f>
        <v>0.18395135061272025</v>
      </c>
      <c r="P151">
        <f>'Exp 2.3 - DBD_DutyCycle_sweep'!V14</f>
        <v>8.9314957521690486E-3</v>
      </c>
      <c r="Q151">
        <f>'Exp 2.3 - DBD_DutyCycle_sweep'!X14</f>
        <v>0</v>
      </c>
      <c r="R151">
        <f t="shared" si="8"/>
        <v>5.5821848451056555</v>
      </c>
      <c r="S151">
        <f>'Exp 2.3 - DBD_DutyCycle_sweep'!AA14</f>
        <v>0.16292086998461311</v>
      </c>
      <c r="T151">
        <f>'Exp 2.3 - DBD_DutyCycle_sweep'!AM14</f>
        <v>24</v>
      </c>
      <c r="U151">
        <f>'Exp 2.3 - DBD_DutyCycle_sweep'!AO14</f>
        <v>0</v>
      </c>
      <c r="V151">
        <f>IF($L151="","",$L151*Equipment!$B$16/100)</f>
        <v>8.3400000000000002E-3</v>
      </c>
      <c r="W151">
        <f>IF($P151="","",$P151*Equipment!$B$19/100)</f>
        <v>5.3588974513014292E-4</v>
      </c>
      <c r="X151" t="str">
        <f t="shared" si="9"/>
        <v>ok</v>
      </c>
      <c r="Y151">
        <f>'Exp 2.3 - DBD_DutyCycle_sweep'!AR14</f>
        <v>0</v>
      </c>
    </row>
    <row r="152" spans="1:25" x14ac:dyDescent="0.3">
      <c r="A152" t="s">
        <v>20</v>
      </c>
      <c r="B152" t="str">
        <f>'Exp 2.3 - DBD_DutyCycle_sweep'!A15</f>
        <v>BLOCK 1</v>
      </c>
      <c r="C152" t="str">
        <f>'Exp 2.3 - DBD_DutyCycle_sweep'!C15</f>
        <v>SQUARE</v>
      </c>
      <c r="D152">
        <f>'Exp 2.3 - DBD_DutyCycle_sweep'!D15</f>
        <v>3</v>
      </c>
      <c r="E152">
        <f>'Exp 2.3 - DBD_DutyCycle_sweep'!E15</f>
        <v>5</v>
      </c>
      <c r="F152">
        <f>'Exp 2.3 - DBD_DutyCycle_sweep'!G15</f>
        <v>5</v>
      </c>
      <c r="G152">
        <f>'Exp 2.3 - DBD_DutyCycle_sweep'!H15</f>
        <v>2</v>
      </c>
      <c r="H152">
        <f>'Exp 2.3 - DBD_DutyCycle_sweep'!I15</f>
        <v>1.9991000000000001</v>
      </c>
      <c r="I152">
        <f>'Exp 2.3 - DBD_DutyCycle_sweep'!L15</f>
        <v>7.0000000000000007E-2</v>
      </c>
      <c r="J152">
        <f>'Exp 2.3 - DBD_DutyCycle_sweep'!M15</f>
        <v>0.14000000000000001</v>
      </c>
      <c r="K152">
        <f>'Exp 2.3 - DBD_DutyCycle_sweep'!N15</f>
        <v>0.32900000000000001</v>
      </c>
      <c r="L152">
        <f>'Exp 2.3 - DBD_DutyCycle_sweep'!O15</f>
        <v>0.107</v>
      </c>
      <c r="M152">
        <f>'Exp 2.3 - DBD_DutyCycle_sweep'!P15</f>
        <v>0.113</v>
      </c>
      <c r="N152">
        <f>'Exp 2.3 - DBD_DutyCycle_sweep'!S15</f>
        <v>1.2090999999999999E-2</v>
      </c>
      <c r="O152">
        <f>'Exp 2.3 - DBD_DutyCycle_sweep'!U15</f>
        <v>6.1048539534856908E-2</v>
      </c>
      <c r="P152">
        <f>'Exp 2.3 - DBD_DutyCycle_sweep'!V15</f>
        <v>7.4737436393528347E-4</v>
      </c>
      <c r="Q152">
        <f>'Exp 2.3 - DBD_DutyCycle_sweep'!X15</f>
        <v>0</v>
      </c>
      <c r="R152">
        <f t="shared" si="8"/>
        <v>0.53383883138234522</v>
      </c>
      <c r="S152">
        <f>'Exp 2.3 - DBD_DutyCycle_sweep'!AA15</f>
        <v>0.27867981183435087</v>
      </c>
      <c r="T152">
        <f>'Exp 2.3 - DBD_DutyCycle_sweep'!AM15</f>
        <v>24</v>
      </c>
      <c r="U152">
        <f>'Exp 2.3 - DBD_DutyCycle_sweep'!AO15</f>
        <v>0</v>
      </c>
      <c r="V152">
        <f>IF($L152="","",$L152*Equipment!$B$16/100)</f>
        <v>3.2100000000000002E-3</v>
      </c>
      <c r="W152">
        <f>IF($P152="","",$P152*Equipment!$B$19/100)</f>
        <v>4.4842461836117013E-5</v>
      </c>
      <c r="X152" t="str">
        <f t="shared" si="9"/>
        <v>ok</v>
      </c>
      <c r="Y152">
        <f>'Exp 2.3 - DBD_DutyCycle_sweep'!AR15</f>
        <v>0</v>
      </c>
    </row>
    <row r="153" spans="1:25" x14ac:dyDescent="0.3">
      <c r="A153" t="s">
        <v>20</v>
      </c>
      <c r="B153" t="str">
        <f>'Exp 2.3 - DBD_DutyCycle_sweep'!A17</f>
        <v>BLOCK 2</v>
      </c>
      <c r="C153" t="str">
        <f>'Exp 2.3 - DBD_DutyCycle_sweep'!C17</f>
        <v>SQUARE</v>
      </c>
      <c r="D153">
        <f>'Exp 2.3 - DBD_DutyCycle_sweep'!D17</f>
        <v>3</v>
      </c>
      <c r="E153">
        <f>'Exp 2.3 - DBD_DutyCycle_sweep'!E17</f>
        <v>10</v>
      </c>
      <c r="F153">
        <f>'Exp 2.3 - DBD_DutyCycle_sweep'!G17</f>
        <v>100</v>
      </c>
      <c r="G153">
        <f>'Exp 2.3 - DBD_DutyCycle_sweep'!H17</f>
        <v>4</v>
      </c>
      <c r="H153">
        <f>'Exp 2.3 - DBD_DutyCycle_sweep'!I17</f>
        <v>3.9963000000000002</v>
      </c>
      <c r="I153">
        <f>'Exp 2.3 - DBD_DutyCycle_sweep'!L17</f>
        <v>1.1100000000000001</v>
      </c>
      <c r="J153">
        <f>'Exp 2.3 - DBD_DutyCycle_sweep'!M17</f>
        <v>4.4400000000000004</v>
      </c>
      <c r="K153">
        <f>'Exp 2.3 - DBD_DutyCycle_sweep'!N17</f>
        <v>3.78</v>
      </c>
      <c r="L153">
        <f>'Exp 2.3 - DBD_DutyCycle_sweep'!O17</f>
        <v>1.23</v>
      </c>
      <c r="M153">
        <f>'Exp 2.3 - DBD_DutyCycle_sweep'!P17</f>
        <v>1.86</v>
      </c>
      <c r="N153">
        <f>'Exp 2.3 - DBD_DutyCycle_sweep'!S17</f>
        <v>2.2878000000000003</v>
      </c>
      <c r="O153">
        <f>'Exp 2.3 - DBD_DutyCycle_sweep'!U17</f>
        <v>0.3338068592337709</v>
      </c>
      <c r="P153">
        <f>'Exp 2.3 - DBD_DutyCycle_sweep'!V17</f>
        <v>0.76502843247354624</v>
      </c>
      <c r="Q153">
        <f>'Exp 2.3 - DBD_DutyCycle_sweep'!X17</f>
        <v>0</v>
      </c>
      <c r="R153">
        <f t="shared" si="8"/>
        <v>17.230370100755543</v>
      </c>
      <c r="S153">
        <f>'Exp 2.3 - DBD_DutyCycle_sweep'!AA17</f>
        <v>0.11568300150315967</v>
      </c>
      <c r="T153">
        <f>'Exp 2.3 - DBD_DutyCycle_sweep'!AM17</f>
        <v>51</v>
      </c>
      <c r="U153">
        <f>'Exp 2.3 - DBD_DutyCycle_sweep'!AO17</f>
        <v>0</v>
      </c>
      <c r="V153">
        <f>IF($L153="","",$L153*Equipment!$B$16/100)</f>
        <v>3.6900000000000002E-2</v>
      </c>
      <c r="W153">
        <f>IF($P153="","",$P153*Equipment!$B$19/100)</f>
        <v>4.5901705948412773E-2</v>
      </c>
      <c r="X153" t="str">
        <f t="shared" si="9"/>
        <v>ok</v>
      </c>
      <c r="Y153">
        <f>'Exp 2.3 - DBD_DutyCycle_sweep'!AR17</f>
        <v>0</v>
      </c>
    </row>
    <row r="154" spans="1:25" x14ac:dyDescent="0.3">
      <c r="A154" t="s">
        <v>20</v>
      </c>
      <c r="B154" t="str">
        <f>'Exp 2.3 - DBD_DutyCycle_sweep'!A18</f>
        <v>BLOCK 2</v>
      </c>
      <c r="C154" t="str">
        <f>'Exp 2.3 - DBD_DutyCycle_sweep'!C18</f>
        <v>SQUARE</v>
      </c>
      <c r="D154">
        <f>'Exp 2.3 - DBD_DutyCycle_sweep'!D18</f>
        <v>3</v>
      </c>
      <c r="E154">
        <f>'Exp 2.3 - DBD_DutyCycle_sweep'!E18</f>
        <v>10</v>
      </c>
      <c r="F154">
        <f>'Exp 2.3 - DBD_DutyCycle_sweep'!G18</f>
        <v>90</v>
      </c>
      <c r="G154">
        <f>'Exp 2.3 - DBD_DutyCycle_sweep'!H18</f>
        <v>4</v>
      </c>
      <c r="H154">
        <f>'Exp 2.3 - DBD_DutyCycle_sweep'!I18</f>
        <v>4.0060000000000002</v>
      </c>
      <c r="I154">
        <f>'Exp 2.3 - DBD_DutyCycle_sweep'!L18</f>
        <v>1.02</v>
      </c>
      <c r="J154">
        <f>'Exp 2.3 - DBD_DutyCycle_sweep'!M18</f>
        <v>4.08</v>
      </c>
      <c r="K154">
        <f>'Exp 2.3 - DBD_DutyCycle_sweep'!N18</f>
        <v>3.59</v>
      </c>
      <c r="L154">
        <f>'Exp 2.3 - DBD_DutyCycle_sweep'!O18</f>
        <v>0.95</v>
      </c>
      <c r="M154">
        <f>'Exp 2.3 - DBD_DutyCycle_sweep'!P18</f>
        <v>1.7110000000000001</v>
      </c>
      <c r="N154">
        <f>'Exp 2.3 - DBD_DutyCycle_sweep'!S18</f>
        <v>1.6254500000000001</v>
      </c>
      <c r="O154">
        <f>'Exp 2.3 - DBD_DutyCycle_sweep'!U18</f>
        <v>0.42577929156507266</v>
      </c>
      <c r="P154">
        <f>'Exp 2.3 - DBD_DutyCycle_sweep'!V18</f>
        <v>0.69292609861733057</v>
      </c>
      <c r="Q154">
        <f>'Exp 2.3 - DBD_DutyCycle_sweep'!X18</f>
        <v>0</v>
      </c>
      <c r="R154">
        <f t="shared" si="8"/>
        <v>16.983482809248297</v>
      </c>
      <c r="S154">
        <f>'Exp 2.3 - DBD_DutyCycle_sweep'!AA18</f>
        <v>0.1140554873930934</v>
      </c>
      <c r="T154">
        <f>'Exp 2.3 - DBD_DutyCycle_sweep'!AM18</f>
        <v>50</v>
      </c>
      <c r="U154">
        <f>'Exp 2.3 - DBD_DutyCycle_sweep'!AO18</f>
        <v>0</v>
      </c>
      <c r="V154">
        <f>IF($L154="","",$L154*Equipment!$B$16/100)</f>
        <v>2.8499999999999998E-2</v>
      </c>
      <c r="W154">
        <f>IF($P154="","",$P154*Equipment!$B$19/100)</f>
        <v>4.1575565917039835E-2</v>
      </c>
      <c r="X154" t="str">
        <f t="shared" si="9"/>
        <v>ok</v>
      </c>
      <c r="Y154">
        <f>'Exp 2.3 - DBD_DutyCycle_sweep'!AR18</f>
        <v>0</v>
      </c>
    </row>
    <row r="155" spans="1:25" x14ac:dyDescent="0.3">
      <c r="A155" t="s">
        <v>20</v>
      </c>
      <c r="B155" t="str">
        <f>'Exp 2.3 - DBD_DutyCycle_sweep'!A19</f>
        <v>BLOCK 2</v>
      </c>
      <c r="C155" t="str">
        <f>'Exp 2.3 - DBD_DutyCycle_sweep'!C19</f>
        <v>SQUARE</v>
      </c>
      <c r="D155">
        <f>'Exp 2.3 - DBD_DutyCycle_sweep'!D19</f>
        <v>3</v>
      </c>
      <c r="E155">
        <f>'Exp 2.3 - DBD_DutyCycle_sweep'!E19</f>
        <v>10</v>
      </c>
      <c r="F155">
        <f>'Exp 2.3 - DBD_DutyCycle_sweep'!G19</f>
        <v>80</v>
      </c>
      <c r="G155">
        <f>'Exp 2.3 - DBD_DutyCycle_sweep'!H19</f>
        <v>4</v>
      </c>
      <c r="H155">
        <f>'Exp 2.3 - DBD_DutyCycle_sweep'!I19</f>
        <v>4</v>
      </c>
      <c r="I155">
        <f>'Exp 2.3 - DBD_DutyCycle_sweep'!L19</f>
        <v>0.56999999999999995</v>
      </c>
      <c r="J155">
        <f>'Exp 2.3 - DBD_DutyCycle_sweep'!M19</f>
        <v>2.2799999999999998</v>
      </c>
      <c r="K155">
        <f>'Exp 2.3 - DBD_DutyCycle_sweep'!N19</f>
        <v>2.2799999999999998</v>
      </c>
      <c r="L155">
        <f>'Exp 2.3 - DBD_DutyCycle_sweep'!O19</f>
        <v>0.78400000000000003</v>
      </c>
      <c r="M155">
        <f>'Exp 2.3 - DBD_DutyCycle_sweep'!P19</f>
        <v>1.042</v>
      </c>
      <c r="N155">
        <f>'Exp 2.3 - DBD_DutyCycle_sweep'!S19</f>
        <v>0.8169280000000001</v>
      </c>
      <c r="O155">
        <f>'Exp 2.3 - DBD_DutyCycle_sweep'!U19</f>
        <v>0.5299192642332049</v>
      </c>
      <c r="P155">
        <f>'Exp 2.3 - DBD_DutyCycle_sweep'!V19</f>
        <v>0.43326136162079559</v>
      </c>
      <c r="Q155">
        <f>'Exp 2.3 - DBD_DutyCycle_sweep'!X19</f>
        <v>0</v>
      </c>
      <c r="R155">
        <f t="shared" si="8"/>
        <v>19.002691299157703</v>
      </c>
      <c r="S155">
        <f>'Exp 2.3 - DBD_DutyCycle_sweep'!AA19</f>
        <v>0.14732526759516404</v>
      </c>
      <c r="T155">
        <f>'Exp 2.3 - DBD_DutyCycle_sweep'!AM19</f>
        <v>42</v>
      </c>
      <c r="U155">
        <f>'Exp 2.3 - DBD_DutyCycle_sweep'!AO19</f>
        <v>0</v>
      </c>
      <c r="V155">
        <f>IF($L155="","",$L155*Equipment!$B$16/100)</f>
        <v>2.3520000000000003E-2</v>
      </c>
      <c r="W155">
        <f>IF($P155="","",$P155*Equipment!$B$19/100)</f>
        <v>2.5995681697247735E-2</v>
      </c>
      <c r="X155" t="str">
        <f t="shared" si="9"/>
        <v>ok</v>
      </c>
      <c r="Y155">
        <f>'Exp 2.3 - DBD_DutyCycle_sweep'!AR19</f>
        <v>0</v>
      </c>
    </row>
    <row r="156" spans="1:25" x14ac:dyDescent="0.3">
      <c r="A156" t="s">
        <v>20</v>
      </c>
      <c r="B156" t="str">
        <f>'Exp 2.3 - DBD_DutyCycle_sweep'!A20</f>
        <v>BLOCK 2</v>
      </c>
      <c r="C156" t="str">
        <f>'Exp 2.3 - DBD_DutyCycle_sweep'!C20</f>
        <v>SQUARE</v>
      </c>
      <c r="D156">
        <f>'Exp 2.3 - DBD_DutyCycle_sweep'!D20</f>
        <v>3</v>
      </c>
      <c r="E156">
        <f>'Exp 2.3 - DBD_DutyCycle_sweep'!E20</f>
        <v>10</v>
      </c>
      <c r="F156">
        <f>'Exp 2.3 - DBD_DutyCycle_sweep'!G20</f>
        <v>70</v>
      </c>
      <c r="G156">
        <f>'Exp 2.3 - DBD_DutyCycle_sweep'!H20</f>
        <v>4</v>
      </c>
      <c r="H156">
        <f>'Exp 2.3 - DBD_DutyCycle_sweep'!I20</f>
        <v>3.9946000000000002</v>
      </c>
      <c r="I156">
        <f>'Exp 2.3 - DBD_DutyCycle_sweep'!L20</f>
        <v>0.42</v>
      </c>
      <c r="J156">
        <f>'Exp 2.3 - DBD_DutyCycle_sweep'!M20</f>
        <v>1.68</v>
      </c>
      <c r="K156">
        <f>'Exp 2.3 - DBD_DutyCycle_sweep'!N20</f>
        <v>1.67</v>
      </c>
      <c r="L156">
        <f>'Exp 2.3 - DBD_DutyCycle_sweep'!O20</f>
        <v>0.60599999999999998</v>
      </c>
      <c r="M156">
        <f>'Exp 2.3 - DBD_DutyCycle_sweep'!P20</f>
        <v>0.81200000000000006</v>
      </c>
      <c r="N156">
        <f>'Exp 2.3 - DBD_DutyCycle_sweep'!S20</f>
        <v>0.49207200000000001</v>
      </c>
      <c r="O156">
        <f>'Exp 2.3 - DBD_DutyCycle_sweep'!U20</f>
        <v>0.52249856471594891</v>
      </c>
      <c r="P156">
        <f>'Exp 2.3 - DBD_DutyCycle_sweep'!V20</f>
        <v>0.25732404893203309</v>
      </c>
      <c r="Q156">
        <f>'Exp 2.3 - DBD_DutyCycle_sweep'!X20</f>
        <v>0</v>
      </c>
      <c r="R156">
        <f t="shared" si="8"/>
        <v>15.316907674525778</v>
      </c>
      <c r="S156">
        <f>'Exp 2.3 - DBD_DutyCycle_sweep'!AA20</f>
        <v>8.3286400308663466E-2</v>
      </c>
      <c r="T156">
        <f>'Exp 2.3 - DBD_DutyCycle_sweep'!AM20</f>
        <v>35</v>
      </c>
      <c r="U156">
        <f>'Exp 2.3 - DBD_DutyCycle_sweep'!AO20</f>
        <v>0</v>
      </c>
      <c r="V156">
        <f>IF($L156="","",$L156*Equipment!$B$16/100)</f>
        <v>1.8180000000000002E-2</v>
      </c>
      <c r="W156">
        <f>IF($P156="","",$P156*Equipment!$B$19/100)</f>
        <v>1.5439442935921985E-2</v>
      </c>
      <c r="X156" t="str">
        <f t="shared" si="9"/>
        <v>ok</v>
      </c>
      <c r="Y156">
        <f>'Exp 2.3 - DBD_DutyCycle_sweep'!AR20</f>
        <v>0</v>
      </c>
    </row>
    <row r="157" spans="1:25" x14ac:dyDescent="0.3">
      <c r="A157" t="s">
        <v>20</v>
      </c>
      <c r="B157" t="str">
        <f>'Exp 2.3 - DBD_DutyCycle_sweep'!A21</f>
        <v>BLOCK 2</v>
      </c>
      <c r="C157" t="str">
        <f>'Exp 2.3 - DBD_DutyCycle_sweep'!C21</f>
        <v>SQUARE</v>
      </c>
      <c r="D157">
        <f>'Exp 2.3 - DBD_DutyCycle_sweep'!D21</f>
        <v>3</v>
      </c>
      <c r="E157">
        <f>'Exp 2.3 - DBD_DutyCycle_sweep'!E21</f>
        <v>10</v>
      </c>
      <c r="F157">
        <f>'Exp 2.3 - DBD_DutyCycle_sweep'!G21</f>
        <v>60</v>
      </c>
      <c r="G157">
        <f>'Exp 2.3 - DBD_DutyCycle_sweep'!H21</f>
        <v>4</v>
      </c>
      <c r="H157">
        <f>'Exp 2.3 - DBD_DutyCycle_sweep'!I21</f>
        <v>3.9935999999999998</v>
      </c>
      <c r="I157">
        <f>'Exp 2.3 - DBD_DutyCycle_sweep'!L21</f>
        <v>0.37</v>
      </c>
      <c r="J157">
        <f>'Exp 2.3 - DBD_DutyCycle_sweep'!M21</f>
        <v>1.48</v>
      </c>
      <c r="K157">
        <f>'Exp 2.3 - DBD_DutyCycle_sweep'!N21</f>
        <v>1.46</v>
      </c>
      <c r="L157">
        <f>'Exp 2.3 - DBD_DutyCycle_sweep'!O21</f>
        <v>0.54600000000000004</v>
      </c>
      <c r="M157">
        <f>'Exp 2.3 - DBD_DutyCycle_sweep'!P21</f>
        <v>0.73299999999999998</v>
      </c>
      <c r="N157">
        <f>'Exp 2.3 - DBD_DutyCycle_sweep'!S21</f>
        <v>0.40021800000000002</v>
      </c>
      <c r="O157">
        <f>'Exp 2.3 - DBD_DutyCycle_sweep'!U21</f>
        <v>0.50452762381501925</v>
      </c>
      <c r="P157">
        <f>'Exp 2.3 - DBD_DutyCycle_sweep'!V21</f>
        <v>0.20210353640211803</v>
      </c>
      <c r="Q157">
        <f>'Exp 2.3 - DBD_DutyCycle_sweep'!X21</f>
        <v>0</v>
      </c>
      <c r="R157">
        <f t="shared" si="8"/>
        <v>13.655644351494461</v>
      </c>
      <c r="S157">
        <f>'Exp 2.3 - DBD_DutyCycle_sweep'!AA21</f>
        <v>0.10698715613988312</v>
      </c>
      <c r="T157">
        <f>'Exp 2.3 - DBD_DutyCycle_sweep'!AM21</f>
        <v>32</v>
      </c>
      <c r="U157">
        <f>'Exp 2.3 - DBD_DutyCycle_sweep'!AO21</f>
        <v>0</v>
      </c>
      <c r="V157">
        <f>IF($L157="","",$L157*Equipment!$B$16/100)</f>
        <v>1.6380000000000002E-2</v>
      </c>
      <c r="W157">
        <f>IF($P157="","",$P157*Equipment!$B$19/100)</f>
        <v>1.2126212184127082E-2</v>
      </c>
      <c r="X157" t="str">
        <f t="shared" si="9"/>
        <v>ok</v>
      </c>
      <c r="Y157">
        <f>'Exp 2.3 - DBD_DutyCycle_sweep'!AR21</f>
        <v>0</v>
      </c>
    </row>
    <row r="158" spans="1:25" x14ac:dyDescent="0.3">
      <c r="A158" t="s">
        <v>20</v>
      </c>
      <c r="B158" t="str">
        <f>'Exp 2.3 - DBD_DutyCycle_sweep'!A22</f>
        <v>BLOCK 2</v>
      </c>
      <c r="C158" t="str">
        <f>'Exp 2.3 - DBD_DutyCycle_sweep'!C22</f>
        <v>SQUARE</v>
      </c>
      <c r="D158">
        <f>'Exp 2.3 - DBD_DutyCycle_sweep'!D22</f>
        <v>3</v>
      </c>
      <c r="E158">
        <f>'Exp 2.3 - DBD_DutyCycle_sweep'!E22</f>
        <v>10</v>
      </c>
      <c r="F158">
        <f>'Exp 2.3 - DBD_DutyCycle_sweep'!G22</f>
        <v>50</v>
      </c>
      <c r="G158">
        <f>'Exp 2.3 - DBD_DutyCycle_sweep'!H22</f>
        <v>4</v>
      </c>
      <c r="H158">
        <f>'Exp 2.3 - DBD_DutyCycle_sweep'!I22</f>
        <v>3.9914999999999998</v>
      </c>
      <c r="I158">
        <f>'Exp 2.3 - DBD_DutyCycle_sweep'!L22</f>
        <v>0.27</v>
      </c>
      <c r="J158">
        <f>'Exp 2.3 - DBD_DutyCycle_sweep'!M22</f>
        <v>1.08</v>
      </c>
      <c r="K158">
        <f>'Exp 2.3 - DBD_DutyCycle_sweep'!N22</f>
        <v>1.0169999999999999</v>
      </c>
      <c r="L158">
        <f>'Exp 2.3 - DBD_DutyCycle_sweep'!O22</f>
        <v>0.39500000000000002</v>
      </c>
      <c r="M158">
        <f>'Exp 2.3 - DBD_DutyCycle_sweep'!P22</f>
        <v>0.56499999999999995</v>
      </c>
      <c r="N158">
        <f>'Exp 2.3 - DBD_DutyCycle_sweep'!S22</f>
        <v>0.22317499999999998</v>
      </c>
      <c r="O158">
        <f>'Exp 2.3 - DBD_DutyCycle_sweep'!U22</f>
        <v>0.46947156278589086</v>
      </c>
      <c r="P158">
        <f>'Exp 2.3 - DBD_DutyCycle_sweep'!V22</f>
        <v>0.10488239908043932</v>
      </c>
      <c r="Q158">
        <f>'Exp 2.3 - DBD_DutyCycle_sweep'!X22</f>
        <v>0</v>
      </c>
      <c r="R158">
        <f t="shared" si="8"/>
        <v>9.7113332481888257</v>
      </c>
      <c r="S158">
        <f>'Exp 2.3 - DBD_DutyCycle_sweep'!AA22</f>
        <v>0.10320509993286058</v>
      </c>
      <c r="T158">
        <f>'Exp 2.3 - DBD_DutyCycle_sweep'!AM22</f>
        <v>29</v>
      </c>
      <c r="U158">
        <f>'Exp 2.3 - DBD_DutyCycle_sweep'!AO22</f>
        <v>0</v>
      </c>
      <c r="V158">
        <f>IF($L158="","",$L158*Equipment!$B$16/100)</f>
        <v>1.1850000000000001E-2</v>
      </c>
      <c r="W158">
        <f>IF($P158="","",$P158*Equipment!$B$19/100)</f>
        <v>6.2929439448263591E-3</v>
      </c>
      <c r="X158" t="str">
        <f t="shared" si="9"/>
        <v>ok</v>
      </c>
      <c r="Y158">
        <f>'Exp 2.3 - DBD_DutyCycle_sweep'!AR22</f>
        <v>0</v>
      </c>
    </row>
    <row r="159" spans="1:25" x14ac:dyDescent="0.3">
      <c r="A159" t="s">
        <v>20</v>
      </c>
      <c r="B159" t="str">
        <f>'Exp 2.3 - DBD_DutyCycle_sweep'!A23</f>
        <v>BLOCK 2</v>
      </c>
      <c r="C159" t="str">
        <f>'Exp 2.3 - DBD_DutyCycle_sweep'!C23</f>
        <v>SQUARE</v>
      </c>
      <c r="D159">
        <f>'Exp 2.3 - DBD_DutyCycle_sweep'!D23</f>
        <v>3</v>
      </c>
      <c r="E159">
        <f>'Exp 2.3 - DBD_DutyCycle_sweep'!E23</f>
        <v>10</v>
      </c>
      <c r="F159">
        <f>'Exp 2.3 - DBD_DutyCycle_sweep'!G23</f>
        <v>40</v>
      </c>
      <c r="G159">
        <f>'Exp 2.3 - DBD_DutyCycle_sweep'!H23</f>
        <v>4</v>
      </c>
      <c r="H159">
        <f>'Exp 2.3 - DBD_DutyCycle_sweep'!I23</f>
        <v>3.9910000000000001</v>
      </c>
      <c r="I159">
        <f>'Exp 2.3 - DBD_DutyCycle_sweep'!L23</f>
        <v>0.16</v>
      </c>
      <c r="J159">
        <f>'Exp 2.3 - DBD_DutyCycle_sweep'!M23</f>
        <v>0.64</v>
      </c>
      <c r="K159">
        <f>'Exp 2.3 - DBD_DutyCycle_sweep'!N23</f>
        <v>0.77400000000000002</v>
      </c>
      <c r="L159">
        <f>'Exp 2.3 - DBD_DutyCycle_sweep'!O23</f>
        <v>0.311</v>
      </c>
      <c r="M159">
        <f>'Exp 2.3 - DBD_DutyCycle_sweep'!P23</f>
        <v>0.47799999999999998</v>
      </c>
      <c r="N159">
        <f>'Exp 2.3 - DBD_DutyCycle_sweep'!S23</f>
        <v>0.14865799999999998</v>
      </c>
      <c r="O159">
        <f>'Exp 2.3 - DBD_DutyCycle_sweep'!U23</f>
        <v>0.41469324265623914</v>
      </c>
      <c r="P159">
        <f>'Exp 2.3 - DBD_DutyCycle_sweep'!V23</f>
        <v>6.1725855046982032E-2</v>
      </c>
      <c r="Q159">
        <f>'Exp 2.3 - DBD_DutyCycle_sweep'!X23</f>
        <v>0</v>
      </c>
      <c r="R159">
        <f t="shared" si="8"/>
        <v>9.6446648510909423</v>
      </c>
      <c r="S159">
        <f>'Exp 2.3 - DBD_DutyCycle_sweep'!AA23</f>
        <v>0.14580820434638408</v>
      </c>
      <c r="T159">
        <f>'Exp 2.3 - DBD_DutyCycle_sweep'!AM23</f>
        <v>26</v>
      </c>
      <c r="U159">
        <f>'Exp 2.3 - DBD_DutyCycle_sweep'!AO23</f>
        <v>0</v>
      </c>
      <c r="V159">
        <f>IF($L159="","",$L159*Equipment!$B$16/100)</f>
        <v>9.3299999999999998E-3</v>
      </c>
      <c r="W159">
        <f>IF($P159="","",$P159*Equipment!$B$19/100)</f>
        <v>3.7035513028189221E-3</v>
      </c>
      <c r="X159" t="str">
        <f t="shared" si="9"/>
        <v>ok</v>
      </c>
      <c r="Y159">
        <f>'Exp 2.3 - DBD_DutyCycle_sweep'!AR23</f>
        <v>0</v>
      </c>
    </row>
    <row r="160" spans="1:25" x14ac:dyDescent="0.3">
      <c r="A160" t="s">
        <v>20</v>
      </c>
      <c r="B160" t="str">
        <f>'Exp 2.3 - DBD_DutyCycle_sweep'!A24</f>
        <v>BLOCK 2</v>
      </c>
      <c r="C160" t="str">
        <f>'Exp 2.3 - DBD_DutyCycle_sweep'!C24</f>
        <v>SQUARE</v>
      </c>
      <c r="D160">
        <f>'Exp 2.3 - DBD_DutyCycle_sweep'!D24</f>
        <v>3</v>
      </c>
      <c r="E160">
        <f>'Exp 2.3 - DBD_DutyCycle_sweep'!E24</f>
        <v>10</v>
      </c>
      <c r="F160">
        <f>'Exp 2.3 - DBD_DutyCycle_sweep'!G24</f>
        <v>30</v>
      </c>
      <c r="G160">
        <f>'Exp 2.3 - DBD_DutyCycle_sweep'!H24</f>
        <v>4</v>
      </c>
      <c r="H160">
        <f>'Exp 2.3 - DBD_DutyCycle_sweep'!I24</f>
        <v>3.9914999999999998</v>
      </c>
      <c r="I160">
        <f>'Exp 2.3 - DBD_DutyCycle_sweep'!L24</f>
        <v>0.12</v>
      </c>
      <c r="J160">
        <f>'Exp 2.3 - DBD_DutyCycle_sweep'!M24</f>
        <v>0.48</v>
      </c>
      <c r="K160">
        <f>'Exp 2.3 - DBD_DutyCycle_sweep'!N24</f>
        <v>0.56299999999999994</v>
      </c>
      <c r="L160">
        <f>'Exp 2.3 - DBD_DutyCycle_sweep'!O24</f>
        <v>0.23</v>
      </c>
      <c r="M160">
        <f>'Exp 2.3 - DBD_DutyCycle_sweep'!P24</f>
        <v>0.39400000000000002</v>
      </c>
      <c r="N160">
        <f>'Exp 2.3 - DBD_DutyCycle_sweep'!S24</f>
        <v>9.0620000000000006E-2</v>
      </c>
      <c r="O160">
        <f>'Exp 2.3 - DBD_DutyCycle_sweep'!U24</f>
        <v>0.3338068592337709</v>
      </c>
      <c r="P160">
        <f>'Exp 2.3 - DBD_DutyCycle_sweep'!V24</f>
        <v>3.0302857133819718E-2</v>
      </c>
      <c r="Q160">
        <f>'Exp 2.3 - DBD_DutyCycle_sweep'!X24</f>
        <v>0</v>
      </c>
      <c r="R160">
        <f t="shared" si="8"/>
        <v>6.3130952362124422</v>
      </c>
      <c r="S160">
        <f>'Exp 2.3 - DBD_DutyCycle_sweep'!AA24</f>
        <v>0.19225068260292394</v>
      </c>
      <c r="T160">
        <f>'Exp 2.3 - DBD_DutyCycle_sweep'!AM24</f>
        <v>25</v>
      </c>
      <c r="U160">
        <f>'Exp 2.3 - DBD_DutyCycle_sweep'!AO24</f>
        <v>0</v>
      </c>
      <c r="V160">
        <f>IF($L160="","",$L160*Equipment!$B$16/100)</f>
        <v>6.9000000000000008E-3</v>
      </c>
      <c r="W160">
        <f>IF($P160="","",$P160*Equipment!$B$19/100)</f>
        <v>1.818171428029183E-3</v>
      </c>
      <c r="X160" t="str">
        <f t="shared" si="9"/>
        <v>ok</v>
      </c>
      <c r="Y160">
        <f>'Exp 2.3 - DBD_DutyCycle_sweep'!AR24</f>
        <v>0</v>
      </c>
    </row>
    <row r="161" spans="1:25" x14ac:dyDescent="0.3">
      <c r="A161" t="s">
        <v>20</v>
      </c>
      <c r="B161" t="str">
        <f>'Exp 2.3 - DBD_DutyCycle_sweep'!A25</f>
        <v>BLOCK 2</v>
      </c>
      <c r="C161" t="str">
        <f>'Exp 2.3 - DBD_DutyCycle_sweep'!C25</f>
        <v>SQUARE</v>
      </c>
      <c r="D161">
        <f>'Exp 2.3 - DBD_DutyCycle_sweep'!D25</f>
        <v>3</v>
      </c>
      <c r="E161">
        <f>'Exp 2.3 - DBD_DutyCycle_sweep'!E25</f>
        <v>10</v>
      </c>
      <c r="F161">
        <f>'Exp 2.3 - DBD_DutyCycle_sweep'!G25</f>
        <v>20</v>
      </c>
      <c r="G161">
        <f>'Exp 2.3 - DBD_DutyCycle_sweep'!H25</f>
        <v>4</v>
      </c>
      <c r="H161">
        <f>'Exp 2.3 - DBD_DutyCycle_sweep'!I25</f>
        <v>3.9914000000000001</v>
      </c>
      <c r="I161">
        <f>'Exp 2.3 - DBD_DutyCycle_sweep'!L25</f>
        <v>0.1</v>
      </c>
      <c r="J161">
        <f>'Exp 2.3 - DBD_DutyCycle_sweep'!M25</f>
        <v>0.4</v>
      </c>
      <c r="K161">
        <f>'Exp 2.3 - DBD_DutyCycle_sweep'!N25</f>
        <v>0.375</v>
      </c>
      <c r="L161">
        <f>'Exp 2.3 - DBD_DutyCycle_sweep'!O25</f>
        <v>0.157</v>
      </c>
      <c r="M161">
        <f>'Exp 2.3 - DBD_DutyCycle_sweep'!P25</f>
        <v>0.317</v>
      </c>
      <c r="N161">
        <f>'Exp 2.3 - DBD_DutyCycle_sweep'!S25</f>
        <v>4.9769000000000001E-2</v>
      </c>
      <c r="O161">
        <f>'Exp 2.3 - DBD_DutyCycle_sweep'!U25</f>
        <v>0.14953534344370958</v>
      </c>
      <c r="P161">
        <f>'Exp 2.3 - DBD_DutyCycle_sweep'!V25</f>
        <v>7.4776648370681962E-3</v>
      </c>
      <c r="Q161">
        <f>'Exp 2.3 - DBD_DutyCycle_sweep'!X25</f>
        <v>0</v>
      </c>
      <c r="R161">
        <f t="shared" si="8"/>
        <v>1.869416209267049</v>
      </c>
      <c r="S161">
        <f>'Exp 2.3 - DBD_DutyCycle_sweep'!AA25</f>
        <v>0.25693450461934519</v>
      </c>
      <c r="T161">
        <f>'Exp 2.3 - DBD_DutyCycle_sweep'!AM25</f>
        <v>25</v>
      </c>
      <c r="U161">
        <f>'Exp 2.3 - DBD_DutyCycle_sweep'!AO25</f>
        <v>0</v>
      </c>
      <c r="V161">
        <f>IF($L161="","",$L161*Equipment!$B$16/100)</f>
        <v>4.7099999999999998E-3</v>
      </c>
      <c r="W161">
        <f>IF($P161="","",$P161*Equipment!$B$19/100)</f>
        <v>4.4865989022409183E-4</v>
      </c>
      <c r="X161" t="str">
        <f t="shared" si="9"/>
        <v>ok</v>
      </c>
      <c r="Y161">
        <f>'Exp 2.3 - DBD_DutyCycle_sweep'!AR25</f>
        <v>0</v>
      </c>
    </row>
    <row r="162" spans="1:25" x14ac:dyDescent="0.3">
      <c r="A162" t="s">
        <v>20</v>
      </c>
      <c r="B162" t="str">
        <f>'Exp 2.3 - DBD_DutyCycle_sweep'!A26</f>
        <v>BLOCK 2</v>
      </c>
      <c r="C162" t="str">
        <f>'Exp 2.3 - DBD_DutyCycle_sweep'!C26</f>
        <v>SQUARE</v>
      </c>
      <c r="D162">
        <f>'Exp 2.3 - DBD_DutyCycle_sweep'!D26</f>
        <v>3</v>
      </c>
      <c r="E162">
        <f>'Exp 2.3 - DBD_DutyCycle_sweep'!E26</f>
        <v>10</v>
      </c>
      <c r="F162">
        <f>'Exp 2.3 - DBD_DutyCycle_sweep'!G26</f>
        <v>10</v>
      </c>
      <c r="G162">
        <f>'Exp 2.3 - DBD_DutyCycle_sweep'!H26</f>
        <v>4</v>
      </c>
      <c r="H162">
        <f>'Exp 2.3 - DBD_DutyCycle_sweep'!I26</f>
        <v>3.9935999999999998</v>
      </c>
      <c r="I162">
        <f>'Exp 2.3 - DBD_DutyCycle_sweep'!L26</f>
        <v>0.08</v>
      </c>
      <c r="J162">
        <f>'Exp 2.3 - DBD_DutyCycle_sweep'!M26</f>
        <v>0.32</v>
      </c>
      <c r="K162">
        <f>'Exp 2.3 - DBD_DutyCycle_sweep'!N26</f>
        <v>0.19500000000000001</v>
      </c>
      <c r="L162">
        <f>'Exp 2.3 - DBD_DutyCycle_sweep'!O26</f>
        <v>8.3000000000000004E-2</v>
      </c>
      <c r="M162">
        <f>'Exp 2.3 - DBD_DutyCycle_sweep'!P26</f>
        <v>0.22600000000000001</v>
      </c>
      <c r="N162">
        <f>'Exp 2.3 - DBD_DutyCycle_sweep'!S26</f>
        <v>1.8758E-2</v>
      </c>
      <c r="O162">
        <f>'Exp 2.3 - DBD_DutyCycle_sweep'!U26</f>
        <v>-2.9666244085110847E-2</v>
      </c>
      <c r="P162">
        <f>'Exp 2.3 - DBD_DutyCycle_sweep'!V26</f>
        <v>-5.4126627306347959E-4</v>
      </c>
      <c r="Q162">
        <f>'Exp 2.3 - DBD_DutyCycle_sweep'!X26</f>
        <v>0</v>
      </c>
      <c r="R162">
        <f t="shared" si="8"/>
        <v>-0.16914571033233736</v>
      </c>
      <c r="S162">
        <f>'Exp 2.3 - DBD_DutyCycle_sweep'!AA26</f>
        <v>0.35647939958273855</v>
      </c>
      <c r="T162">
        <f>'Exp 2.3 - DBD_DutyCycle_sweep'!AM26</f>
        <v>25</v>
      </c>
      <c r="U162">
        <f>'Exp 2.3 - DBD_DutyCycle_sweep'!AO26</f>
        <v>0</v>
      </c>
      <c r="V162">
        <f>IF($L162="","",$L162*Equipment!$B$16/100)</f>
        <v>2.49E-3</v>
      </c>
      <c r="W162">
        <f>IF($P162="","",$P162*Equipment!$B$19/100)</f>
        <v>-3.2475976383808775E-5</v>
      </c>
      <c r="X162" t="str">
        <f t="shared" si="9"/>
        <v>ok</v>
      </c>
      <c r="Y162">
        <f>'Exp 2.3 - DBD_DutyCycle_sweep'!AR26</f>
        <v>0</v>
      </c>
    </row>
    <row r="163" spans="1:25" x14ac:dyDescent="0.3">
      <c r="A163" t="s">
        <v>20</v>
      </c>
      <c r="B163" t="str">
        <f>'Exp 2.3 - DBD_DutyCycle_sweep'!A27</f>
        <v>BLOCK 2</v>
      </c>
      <c r="C163" t="str">
        <f>'Exp 2.3 - DBD_DutyCycle_sweep'!C27</f>
        <v>SQUARE</v>
      </c>
      <c r="D163">
        <f>'Exp 2.3 - DBD_DutyCycle_sweep'!D27</f>
        <v>3</v>
      </c>
      <c r="E163">
        <f>'Exp 2.3 - DBD_DutyCycle_sweep'!E27</f>
        <v>10</v>
      </c>
      <c r="F163">
        <f>'Exp 2.3 - DBD_DutyCycle_sweep'!G27</f>
        <v>5</v>
      </c>
      <c r="G163">
        <f>'Exp 2.3 - DBD_DutyCycle_sweep'!H27</f>
        <v>4</v>
      </c>
      <c r="H163">
        <f>'Exp 2.3 - DBD_DutyCycle_sweep'!I27</f>
        <v>3.9971999999999999</v>
      </c>
      <c r="I163">
        <f>'Exp 2.3 - DBD_DutyCycle_sweep'!L27</f>
        <v>0.08</v>
      </c>
      <c r="J163">
        <f>'Exp 2.3 - DBD_DutyCycle_sweep'!M27</f>
        <v>0.32</v>
      </c>
      <c r="K163">
        <f>'Exp 2.3 - DBD_DutyCycle_sweep'!N27</f>
        <v>0</v>
      </c>
      <c r="L163">
        <f>'Exp 2.3 - DBD_DutyCycle_sweep'!O27</f>
        <v>0</v>
      </c>
      <c r="M163">
        <f>'Exp 2.3 - DBD_DutyCycle_sweep'!P27</f>
        <v>0</v>
      </c>
      <c r="N163">
        <f>'Exp 2.3 - DBD_DutyCycle_sweep'!S27</f>
        <v>0</v>
      </c>
      <c r="O163">
        <f>'Exp 2.3 - DBD_DutyCycle_sweep'!U27</f>
        <v>1</v>
      </c>
      <c r="P163">
        <f>'Exp 2.3 - DBD_DutyCycle_sweep'!V27</f>
        <v>0</v>
      </c>
      <c r="Q163">
        <f>'Exp 2.3 - DBD_DutyCycle_sweep'!X27</f>
        <v>0</v>
      </c>
      <c r="R163">
        <f t="shared" ref="R163:R180" si="10">IFERROR(IF(OR($J163="",$P163="",$J163=0),"",$P163/$J163*100),"")</f>
        <v>0</v>
      </c>
      <c r="S163" t="str">
        <f>'Exp 2.3 - DBD_DutyCycle_sweep'!AA27</f>
        <v/>
      </c>
      <c r="T163">
        <f>'Exp 2.3 - DBD_DutyCycle_sweep'!AM27</f>
        <v>25</v>
      </c>
      <c r="U163">
        <f>'Exp 2.3 - DBD_DutyCycle_sweep'!AO27</f>
        <v>0</v>
      </c>
      <c r="V163">
        <f>IF($L163="","",$L163*Equipment!$B$16/100)</f>
        <v>0</v>
      </c>
      <c r="W163">
        <f>IF($P163="","",$P163*Equipment!$B$19/100)</f>
        <v>0</v>
      </c>
      <c r="X163" t="str">
        <f t="shared" ref="X163:X180" si="11">IF(R163="","",IF(OR(R163&gt;105,R163&lt;-5),"⚠ suspect (déphasage/deskew probable)",IF(R163&gt;90,"△ à surveiller (&gt;90%)","ok")))</f>
        <v>ok</v>
      </c>
      <c r="Y163">
        <f>'Exp 2.3 - DBD_DutyCycle_sweep'!AR27</f>
        <v>0</v>
      </c>
    </row>
    <row r="164" spans="1:25" x14ac:dyDescent="0.3">
      <c r="A164" t="s">
        <v>20</v>
      </c>
      <c r="B164" t="str">
        <f>'Exp 2.3 - DBD_DutyCycle_sweep'!A29</f>
        <v>BLOCK 3</v>
      </c>
      <c r="C164" t="str">
        <f>'Exp 2.3 - DBD_DutyCycle_sweep'!C29</f>
        <v>SQUARE</v>
      </c>
      <c r="D164">
        <f>'Exp 2.3 - DBD_DutyCycle_sweep'!D29</f>
        <v>3</v>
      </c>
      <c r="E164">
        <f>'Exp 2.3 - DBD_DutyCycle_sweep'!E29</f>
        <v>5</v>
      </c>
      <c r="F164">
        <f>'Exp 2.3 - DBD_DutyCycle_sweep'!G29</f>
        <v>100</v>
      </c>
      <c r="G164">
        <f>'Exp 2.3 - DBD_DutyCycle_sweep'!H29</f>
        <v>4</v>
      </c>
      <c r="H164">
        <f>'Exp 2.3 - DBD_DutyCycle_sweep'!I29</f>
        <v>3.87</v>
      </c>
      <c r="I164">
        <f>'Exp 2.3 - DBD_DutyCycle_sweep'!L29</f>
        <v>0.61</v>
      </c>
      <c r="J164">
        <f>'Exp 2.3 - DBD_DutyCycle_sweep'!M29</f>
        <v>2.44</v>
      </c>
      <c r="K164">
        <f>'Exp 2.3 - DBD_DutyCycle_sweep'!N29</f>
        <v>5.13</v>
      </c>
      <c r="L164">
        <f>'Exp 2.3 - DBD_DutyCycle_sweep'!O29</f>
        <v>1.88</v>
      </c>
      <c r="M164">
        <f>'Exp 2.3 - DBD_DutyCycle_sweep'!P29</f>
        <v>0.90700000000000003</v>
      </c>
      <c r="N164">
        <f>'Exp 2.3 - DBD_DutyCycle_sweep'!S29</f>
        <v>1.70516</v>
      </c>
      <c r="O164">
        <f>'Exp 2.3 - DBD_DutyCycle_sweep'!U29</f>
        <v>8.4373506138682858E-2</v>
      </c>
      <c r="P164">
        <f>'Exp 2.3 - DBD_DutyCycle_sweep'!V29</f>
        <v>0.14515054693037935</v>
      </c>
      <c r="Q164">
        <f>'Exp 2.3 - DBD_DutyCycle_sweep'!X29</f>
        <v>0.15</v>
      </c>
      <c r="R164">
        <f t="shared" si="10"/>
        <v>5.9487929069827601</v>
      </c>
      <c r="S164">
        <f>'Exp 2.3 - DBD_DutyCycle_sweep'!AA29</f>
        <v>0.20775377298141626</v>
      </c>
      <c r="T164">
        <f>'Exp 2.3 - DBD_DutyCycle_sweep'!AM29</f>
        <v>30</v>
      </c>
      <c r="U164">
        <f>'Exp 2.3 - DBD_DutyCycle_sweep'!AO29</f>
        <v>1</v>
      </c>
      <c r="V164">
        <f>IF($L164="","",$L164*Equipment!$B$16/100)</f>
        <v>5.6399999999999999E-2</v>
      </c>
      <c r="W164">
        <f>IF($P164="","",$P164*Equipment!$B$19/100)</f>
        <v>8.709032815822762E-3</v>
      </c>
      <c r="X164" t="str">
        <f t="shared" si="11"/>
        <v>ok</v>
      </c>
      <c r="Y164">
        <f>'Exp 2.3 - DBD_DutyCycle_sweep'!AR29</f>
        <v>0</v>
      </c>
    </row>
    <row r="165" spans="1:25" x14ac:dyDescent="0.3">
      <c r="A165" t="s">
        <v>20</v>
      </c>
      <c r="B165" t="str">
        <f>'Exp 2.3 - DBD_DutyCycle_sweep'!A30</f>
        <v>BLOCK 3</v>
      </c>
      <c r="C165" t="str">
        <f>'Exp 2.3 - DBD_DutyCycle_sweep'!C30</f>
        <v>SQUARE</v>
      </c>
      <c r="D165">
        <f>'Exp 2.3 - DBD_DutyCycle_sweep'!D30</f>
        <v>3</v>
      </c>
      <c r="E165">
        <f>'Exp 2.3 - DBD_DutyCycle_sweep'!E30</f>
        <v>5</v>
      </c>
      <c r="F165">
        <f>'Exp 2.3 - DBD_DutyCycle_sweep'!G30</f>
        <v>90</v>
      </c>
      <c r="G165">
        <f>'Exp 2.3 - DBD_DutyCycle_sweep'!H30</f>
        <v>4</v>
      </c>
      <c r="H165">
        <f>'Exp 2.3 - DBD_DutyCycle_sweep'!I30</f>
        <v>3.87</v>
      </c>
      <c r="I165">
        <f>'Exp 2.3 - DBD_DutyCycle_sweep'!L30</f>
        <v>0.56999999999999995</v>
      </c>
      <c r="J165">
        <f>'Exp 2.3 - DBD_DutyCycle_sweep'!M30</f>
        <v>2.2799999999999998</v>
      </c>
      <c r="K165">
        <f>'Exp 2.3 - DBD_DutyCycle_sweep'!N30</f>
        <v>5.05</v>
      </c>
      <c r="L165">
        <f>'Exp 2.3 - DBD_DutyCycle_sweep'!O30</f>
        <v>1.85</v>
      </c>
      <c r="M165">
        <f>'Exp 2.3 - DBD_DutyCycle_sweep'!P30</f>
        <v>0.83499999999999996</v>
      </c>
      <c r="N165">
        <f>'Exp 2.3 - DBD_DutyCycle_sweep'!S30</f>
        <v>1.5447500000000001</v>
      </c>
      <c r="O165">
        <f>'Exp 2.3 - DBD_DutyCycle_sweep'!U30</f>
        <v>7.3238197127631854E-2</v>
      </c>
      <c r="P165">
        <f>'Exp 2.3 - DBD_DutyCycle_sweep'!V30</f>
        <v>0.11430424287789313</v>
      </c>
      <c r="Q165">
        <f>'Exp 2.3 - DBD_DutyCycle_sweep'!X30</f>
        <v>0.113</v>
      </c>
      <c r="R165">
        <f t="shared" si="10"/>
        <v>5.0133439858725062</v>
      </c>
      <c r="S165">
        <f>'Exp 2.3 - DBD_DutyCycle_sweep'!AA30</f>
        <v>0.11875544969222554</v>
      </c>
      <c r="T165">
        <f>'Exp 2.3 - DBD_DutyCycle_sweep'!AM30</f>
        <v>30</v>
      </c>
      <c r="U165">
        <f>'Exp 2.3 - DBD_DutyCycle_sweep'!AO30</f>
        <v>1</v>
      </c>
      <c r="V165">
        <f>IF($L165="","",$L165*Equipment!$B$16/100)</f>
        <v>5.5500000000000008E-2</v>
      </c>
      <c r="W165">
        <f>IF($P165="","",$P165*Equipment!$B$19/100)</f>
        <v>6.8582545726735876E-3</v>
      </c>
      <c r="X165" t="str">
        <f t="shared" si="11"/>
        <v>ok</v>
      </c>
      <c r="Y165">
        <f>'Exp 2.3 - DBD_DutyCycle_sweep'!AR30</f>
        <v>0</v>
      </c>
    </row>
    <row r="166" spans="1:25" x14ac:dyDescent="0.3">
      <c r="A166" t="s">
        <v>20</v>
      </c>
      <c r="B166" t="str">
        <f>'Exp 2.3 - DBD_DutyCycle_sweep'!A31</f>
        <v>BLOCK 3</v>
      </c>
      <c r="C166" t="str">
        <f>'Exp 2.3 - DBD_DutyCycle_sweep'!C31</f>
        <v>SQUARE</v>
      </c>
      <c r="D166">
        <f>'Exp 2.3 - DBD_DutyCycle_sweep'!D31</f>
        <v>3</v>
      </c>
      <c r="E166">
        <f>'Exp 2.3 - DBD_DutyCycle_sweep'!E31</f>
        <v>5</v>
      </c>
      <c r="F166">
        <f>'Exp 2.3 - DBD_DutyCycle_sweep'!G31</f>
        <v>80</v>
      </c>
      <c r="G166">
        <f>'Exp 2.3 - DBD_DutyCycle_sweep'!H31</f>
        <v>4</v>
      </c>
      <c r="H166">
        <f>'Exp 2.3 - DBD_DutyCycle_sweep'!I31</f>
        <v>3.87</v>
      </c>
      <c r="I166">
        <f>'Exp 2.3 - DBD_DutyCycle_sweep'!L31</f>
        <v>0.51</v>
      </c>
      <c r="J166">
        <f>'Exp 2.3 - DBD_DutyCycle_sweep'!M31</f>
        <v>2.04</v>
      </c>
      <c r="K166">
        <f>'Exp 2.3 - DBD_DutyCycle_sweep'!N31</f>
        <v>4.8099999999999996</v>
      </c>
      <c r="L166">
        <f>'Exp 2.3 - DBD_DutyCycle_sweep'!O31</f>
        <v>1.76</v>
      </c>
      <c r="M166">
        <f>'Exp 2.3 - DBD_DutyCycle_sweep'!P31</f>
        <v>0.74</v>
      </c>
      <c r="N166">
        <f>'Exp 2.3 - DBD_DutyCycle_sweep'!S31</f>
        <v>1.3024</v>
      </c>
      <c r="O166">
        <f>'Exp 2.3 - DBD_DutyCycle_sweep'!U31</f>
        <v>5.4775909853433606E-2</v>
      </c>
      <c r="P166">
        <f>'Exp 2.3 - DBD_DutyCycle_sweep'!V31</f>
        <v>7.2339572564596083E-2</v>
      </c>
      <c r="Q166">
        <f>'Exp 2.3 - DBD_DutyCycle_sweep'!X31</f>
        <v>7.0999999999999994E-2</v>
      </c>
      <c r="R166">
        <f t="shared" si="10"/>
        <v>3.546057478656671</v>
      </c>
      <c r="S166">
        <f>'Exp 2.3 - DBD_DutyCycle_sweep'!AA31</f>
        <v>0.12594105026440022</v>
      </c>
      <c r="T166">
        <f>'Exp 2.3 - DBD_DutyCycle_sweep'!AM31</f>
        <v>29</v>
      </c>
      <c r="U166">
        <f>'Exp 2.3 - DBD_DutyCycle_sweep'!AO31</f>
        <v>1</v>
      </c>
      <c r="V166">
        <f>IF($L166="","",$L166*Equipment!$B$16/100)</f>
        <v>5.28E-2</v>
      </c>
      <c r="W166">
        <f>IF($P166="","",$P166*Equipment!$B$19/100)</f>
        <v>4.3403743538757648E-3</v>
      </c>
      <c r="X166" t="str">
        <f t="shared" si="11"/>
        <v>ok</v>
      </c>
      <c r="Y166" t="str">
        <f>'Exp 2.3 - DBD_DutyCycle_sweep'!AR31</f>
        <v>very faint plasma</v>
      </c>
    </row>
    <row r="167" spans="1:25" x14ac:dyDescent="0.3">
      <c r="A167" t="s">
        <v>20</v>
      </c>
      <c r="B167" t="str">
        <f>'Exp 2.3 - DBD_DutyCycle_sweep'!A32</f>
        <v>BLOCK 3</v>
      </c>
      <c r="C167" t="str">
        <f>'Exp 2.3 - DBD_DutyCycle_sweep'!C32</f>
        <v>SQUARE</v>
      </c>
      <c r="D167">
        <f>'Exp 2.3 - DBD_DutyCycle_sweep'!D32</f>
        <v>3</v>
      </c>
      <c r="E167">
        <f>'Exp 2.3 - DBD_DutyCycle_sweep'!E32</f>
        <v>5</v>
      </c>
      <c r="F167">
        <f>'Exp 2.3 - DBD_DutyCycle_sweep'!G32</f>
        <v>70</v>
      </c>
      <c r="G167">
        <f>'Exp 2.3 - DBD_DutyCycle_sweep'!H32</f>
        <v>4</v>
      </c>
      <c r="H167">
        <f>'Exp 2.3 - DBD_DutyCycle_sweep'!I32</f>
        <v>3.87</v>
      </c>
      <c r="I167">
        <f>'Exp 2.3 - DBD_DutyCycle_sweep'!L32</f>
        <v>0.4</v>
      </c>
      <c r="J167">
        <f>'Exp 2.3 - DBD_DutyCycle_sweep'!M32</f>
        <v>1.6</v>
      </c>
      <c r="K167">
        <f>'Exp 2.3 - DBD_DutyCycle_sweep'!N32</f>
        <v>4.58</v>
      </c>
      <c r="L167">
        <f>'Exp 2.3 - DBD_DutyCycle_sweep'!O32</f>
        <v>1.67</v>
      </c>
      <c r="M167">
        <f>'Exp 2.3 - DBD_DutyCycle_sweep'!P32</f>
        <v>0.66</v>
      </c>
      <c r="N167">
        <f>'Exp 2.3 - DBD_DutyCycle_sweep'!S32</f>
        <v>1.1022000000000001</v>
      </c>
      <c r="O167">
        <f>'Exp 2.3 - DBD_DutyCycle_sweep'!U32</f>
        <v>2.0942419883357051E-2</v>
      </c>
      <c r="P167">
        <f>'Exp 2.3 - DBD_DutyCycle_sweep'!V32</f>
        <v>2.3948546626184487E-2</v>
      </c>
      <c r="Q167">
        <f>'Exp 2.3 - DBD_DutyCycle_sweep'!X32</f>
        <v>2.3E-2</v>
      </c>
      <c r="R167">
        <f t="shared" si="10"/>
        <v>1.4967841641365305</v>
      </c>
      <c r="S167">
        <f>'Exp 2.3 - DBD_DutyCycle_sweep'!AA32</f>
        <v>0.13401066188099209</v>
      </c>
      <c r="T167">
        <f>'Exp 2.3 - DBD_DutyCycle_sweep'!AM32</f>
        <v>28</v>
      </c>
      <c r="U167">
        <f>'Exp 2.3 - DBD_DutyCycle_sweep'!AO32</f>
        <v>1</v>
      </c>
      <c r="V167">
        <f>IF($L167="","",$L167*Equipment!$B$16/100)</f>
        <v>5.0099999999999999E-2</v>
      </c>
      <c r="W167">
        <f>IF($P167="","",$P167*Equipment!$B$19/100)</f>
        <v>1.4369127975710693E-3</v>
      </c>
      <c r="X167" t="str">
        <f t="shared" si="11"/>
        <v>ok</v>
      </c>
      <c r="Y167" t="str">
        <f>'Exp 2.3 - DBD_DutyCycle_sweep'!AR32</f>
        <v>very faint plasma</v>
      </c>
    </row>
    <row r="168" spans="1:25" x14ac:dyDescent="0.3">
      <c r="A168" t="s">
        <v>20</v>
      </c>
      <c r="B168" t="str">
        <f>'Exp 2.3 - DBD_DutyCycle_sweep'!A33</f>
        <v>BLOCK 3</v>
      </c>
      <c r="C168" t="str">
        <f>'Exp 2.3 - DBD_DutyCycle_sweep'!C33</f>
        <v>SQUARE</v>
      </c>
      <c r="D168">
        <f>'Exp 2.3 - DBD_DutyCycle_sweep'!D33</f>
        <v>3</v>
      </c>
      <c r="E168">
        <f>'Exp 2.3 - DBD_DutyCycle_sweep'!E33</f>
        <v>5</v>
      </c>
      <c r="F168">
        <f>'Exp 2.3 - DBD_DutyCycle_sweep'!G33</f>
        <v>60</v>
      </c>
      <c r="G168">
        <f>'Exp 2.3 - DBD_DutyCycle_sweep'!H33</f>
        <v>4</v>
      </c>
      <c r="H168">
        <f>'Exp 2.3 - DBD_DutyCycle_sweep'!I33</f>
        <v>3.87</v>
      </c>
      <c r="I168">
        <f>'Exp 2.3 - DBD_DutyCycle_sweep'!L33</f>
        <v>0.34</v>
      </c>
      <c r="J168">
        <f>'Exp 2.3 - DBD_DutyCycle_sweep'!M33</f>
        <v>1.36</v>
      </c>
      <c r="K168">
        <f>'Exp 2.3 - DBD_DutyCycle_sweep'!N33</f>
        <v>4.34</v>
      </c>
      <c r="L168">
        <f>'Exp 2.3 - DBD_DutyCycle_sweep'!O33</f>
        <v>1.59</v>
      </c>
      <c r="M168">
        <f>'Exp 2.3 - DBD_DutyCycle_sweep'!P33</f>
        <v>0.59199999999999997</v>
      </c>
      <c r="N168">
        <f>'Exp 2.3 - DBD_DutyCycle_sweep'!S33</f>
        <v>0.94128000000000001</v>
      </c>
      <c r="O168">
        <f>'Exp 2.3 - DBD_DutyCycle_sweep'!U33</f>
        <v>4.3633092847465823E-3</v>
      </c>
      <c r="P168">
        <f>'Exp 2.3 - DBD_DutyCycle_sweep'!V33</f>
        <v>4.8545716308407974E-3</v>
      </c>
      <c r="Q168">
        <f>'Exp 2.3 - DBD_DutyCycle_sweep'!X33</f>
        <v>3.3999999999999998E-3</v>
      </c>
      <c r="R168">
        <f t="shared" si="10"/>
        <v>0.35695379638535274</v>
      </c>
      <c r="S168">
        <f>'Exp 2.3 - DBD_DutyCycle_sweep'!AA33</f>
        <v>0.14316152258965364</v>
      </c>
      <c r="T168">
        <f>'Exp 2.3 - DBD_DutyCycle_sweep'!AM33</f>
        <v>27</v>
      </c>
      <c r="U168">
        <f>'Exp 2.3 - DBD_DutyCycle_sweep'!AO33</f>
        <v>0</v>
      </c>
      <c r="V168">
        <f>IF($L168="","",$L168*Equipment!$B$16/100)</f>
        <v>4.7700000000000006E-2</v>
      </c>
      <c r="W168">
        <f>IF($P168="","",$P168*Equipment!$B$19/100)</f>
        <v>2.9127429785044781E-4</v>
      </c>
      <c r="X168" t="str">
        <f t="shared" si="11"/>
        <v>ok</v>
      </c>
      <c r="Y168">
        <f>'Exp 2.3 - DBD_DutyCycle_sweep'!AR33</f>
        <v>0</v>
      </c>
    </row>
    <row r="169" spans="1:25" x14ac:dyDescent="0.3">
      <c r="A169" t="s">
        <v>20</v>
      </c>
      <c r="B169" t="str">
        <f>'Exp 2.3 - DBD_DutyCycle_sweep'!A34</f>
        <v>BLOCK 3</v>
      </c>
      <c r="C169" t="str">
        <f>'Exp 2.3 - DBD_DutyCycle_sweep'!C34</f>
        <v>SQUARE</v>
      </c>
      <c r="D169">
        <f>'Exp 2.3 - DBD_DutyCycle_sweep'!D34</f>
        <v>3</v>
      </c>
      <c r="E169">
        <f>'Exp 2.3 - DBD_DutyCycle_sweep'!E34</f>
        <v>5</v>
      </c>
      <c r="F169">
        <f>'Exp 2.3 - DBD_DutyCycle_sweep'!G34</f>
        <v>50</v>
      </c>
      <c r="G169">
        <f>'Exp 2.3 - DBD_DutyCycle_sweep'!H34</f>
        <v>4</v>
      </c>
      <c r="H169">
        <f>'Exp 2.3 - DBD_DutyCycle_sweep'!I34</f>
        <v>3.87</v>
      </c>
      <c r="I169">
        <f>'Exp 2.3 - DBD_DutyCycle_sweep'!L34</f>
        <v>0.3</v>
      </c>
      <c r="J169">
        <f>'Exp 2.3 - DBD_DutyCycle_sweep'!M34</f>
        <v>1.2</v>
      </c>
      <c r="K169">
        <f>'Exp 2.3 - DBD_DutyCycle_sweep'!N34</f>
        <v>4.1100000000000003</v>
      </c>
      <c r="L169">
        <f>'Exp 2.3 - DBD_DutyCycle_sweep'!O34</f>
        <v>1.52</v>
      </c>
      <c r="M169">
        <f>'Exp 2.3 - DBD_DutyCycle_sweep'!P34</f>
        <v>0.52100000000000002</v>
      </c>
      <c r="N169">
        <f>'Exp 2.3 - DBD_DutyCycle_sweep'!S34</f>
        <v>0.79192000000000007</v>
      </c>
      <c r="O169">
        <f>'Exp 2.3 - DBD_DutyCycle_sweep'!U34</f>
        <v>-8.7265354983737751E-3</v>
      </c>
      <c r="P169">
        <f>'Exp 2.3 - DBD_DutyCycle_sweep'!V34</f>
        <v>-6.2766093904159E-3</v>
      </c>
      <c r="Q169">
        <f>'Exp 2.3 - DBD_DutyCycle_sweep'!X34</f>
        <v>-7.4999999999999997E-3</v>
      </c>
      <c r="R169">
        <f t="shared" si="10"/>
        <v>-0.52305078253465831</v>
      </c>
      <c r="S169">
        <f>'Exp 2.3 - DBD_DutyCycle_sweep'!AA34</f>
        <v>0.14962830474253841</v>
      </c>
      <c r="T169">
        <f>'Exp 2.3 - DBD_DutyCycle_sweep'!AM34</f>
        <v>27</v>
      </c>
      <c r="U169">
        <f>'Exp 2.3 - DBD_DutyCycle_sweep'!AO34</f>
        <v>0</v>
      </c>
      <c r="V169">
        <f>IF($L169="","",$L169*Equipment!$B$16/100)</f>
        <v>4.5600000000000002E-2</v>
      </c>
      <c r="W169">
        <f>IF($P169="","",$P169*Equipment!$B$19/100)</f>
        <v>-3.7659656342495397E-4</v>
      </c>
      <c r="X169" t="str">
        <f t="shared" si="11"/>
        <v>ok</v>
      </c>
      <c r="Y169">
        <f>'Exp 2.3 - DBD_DutyCycle_sweep'!AR34</f>
        <v>0</v>
      </c>
    </row>
    <row r="170" spans="1:25" x14ac:dyDescent="0.3">
      <c r="A170" t="s">
        <v>20</v>
      </c>
      <c r="B170" t="str">
        <f>'Exp 2.3 - DBD_DutyCycle_sweep'!A35</f>
        <v>BLOCK 3</v>
      </c>
      <c r="C170" t="str">
        <f>'Exp 2.3 - DBD_DutyCycle_sweep'!C35</f>
        <v>SQUARE</v>
      </c>
      <c r="D170">
        <f>'Exp 2.3 - DBD_DutyCycle_sweep'!D35</f>
        <v>3</v>
      </c>
      <c r="E170">
        <f>'Exp 2.3 - DBD_DutyCycle_sweep'!E35</f>
        <v>5</v>
      </c>
      <c r="F170">
        <f>'Exp 2.3 - DBD_DutyCycle_sweep'!G35</f>
        <v>40</v>
      </c>
      <c r="G170">
        <f>'Exp 2.3 - DBD_DutyCycle_sweep'!H35</f>
        <v>4</v>
      </c>
      <c r="H170">
        <f>'Exp 2.3 - DBD_DutyCycle_sweep'!I35</f>
        <v>3.87</v>
      </c>
      <c r="I170">
        <f>'Exp 2.3 - DBD_DutyCycle_sweep'!L35</f>
        <v>0.25</v>
      </c>
      <c r="J170">
        <f>'Exp 2.3 - DBD_DutyCycle_sweep'!M35</f>
        <v>1</v>
      </c>
      <c r="K170">
        <f>'Exp 2.3 - DBD_DutyCycle_sweep'!N35</f>
        <v>3.63</v>
      </c>
      <c r="L170">
        <f>'Exp 2.3 - DBD_DutyCycle_sweep'!O35</f>
        <v>1.36</v>
      </c>
      <c r="M170">
        <f>'Exp 2.3 - DBD_DutyCycle_sweep'!P35</f>
        <v>0.44500000000000001</v>
      </c>
      <c r="N170">
        <f>'Exp 2.3 - DBD_DutyCycle_sweep'!S35</f>
        <v>0.60520000000000007</v>
      </c>
      <c r="O170">
        <f>'Exp 2.3 - DBD_DutyCycle_sweep'!U35</f>
        <v>-4.0131792532559614E-2</v>
      </c>
      <c r="P170">
        <f>'Exp 2.3 - DBD_DutyCycle_sweep'!V35</f>
        <v>-2.3793897825401075E-2</v>
      </c>
      <c r="Q170">
        <f>'Exp 2.3 - DBD_DutyCycle_sweep'!X35</f>
        <v>-2.3E-2</v>
      </c>
      <c r="R170">
        <f t="shared" si="10"/>
        <v>-2.3793897825401076</v>
      </c>
      <c r="S170">
        <f>'Exp 2.3 - DBD_DutyCycle_sweep'!AA35</f>
        <v>0.16391140615216035</v>
      </c>
      <c r="T170">
        <f>'Exp 2.3 - DBD_DutyCycle_sweep'!AM35</f>
        <v>27</v>
      </c>
      <c r="U170">
        <f>'Exp 2.3 - DBD_DutyCycle_sweep'!AO35</f>
        <v>0</v>
      </c>
      <c r="V170">
        <f>IF($L170="","",$L170*Equipment!$B$16/100)</f>
        <v>4.0800000000000003E-2</v>
      </c>
      <c r="W170">
        <f>IF($P170="","",$P170*Equipment!$B$19/100)</f>
        <v>-1.4276338695240645E-3</v>
      </c>
      <c r="X170" t="str">
        <f t="shared" si="11"/>
        <v>ok</v>
      </c>
      <c r="Y170">
        <f>'Exp 2.3 - DBD_DutyCycle_sweep'!AR35</f>
        <v>0</v>
      </c>
    </row>
    <row r="171" spans="1:25" x14ac:dyDescent="0.3">
      <c r="A171" t="s">
        <v>20</v>
      </c>
      <c r="B171" t="str">
        <f>'Exp 2.3 - DBD_DutyCycle_sweep'!A36</f>
        <v>BLOCK 3</v>
      </c>
      <c r="C171" t="str">
        <f>'Exp 2.3 - DBD_DutyCycle_sweep'!C36</f>
        <v>SQUARE</v>
      </c>
      <c r="D171">
        <f>'Exp 2.3 - DBD_DutyCycle_sweep'!D36</f>
        <v>3</v>
      </c>
      <c r="E171">
        <f>'Exp 2.3 - DBD_DutyCycle_sweep'!E36</f>
        <v>5</v>
      </c>
      <c r="F171">
        <f>'Exp 2.3 - DBD_DutyCycle_sweep'!G36</f>
        <v>30</v>
      </c>
      <c r="G171">
        <f>'Exp 2.3 - DBD_DutyCycle_sweep'!H36</f>
        <v>4</v>
      </c>
      <c r="H171">
        <f>'Exp 2.3 - DBD_DutyCycle_sweep'!I36</f>
        <v>3.87</v>
      </c>
      <c r="I171">
        <f>'Exp 2.3 - DBD_DutyCycle_sweep'!L36</f>
        <v>0.19</v>
      </c>
      <c r="J171">
        <f>'Exp 2.3 - DBD_DutyCycle_sweep'!M36</f>
        <v>0.76</v>
      </c>
      <c r="K171">
        <f>'Exp 2.3 - DBD_DutyCycle_sweep'!N36</f>
        <v>2.61</v>
      </c>
      <c r="L171">
        <f>'Exp 2.3 - DBD_DutyCycle_sweep'!O36</f>
        <v>0.872</v>
      </c>
      <c r="M171">
        <f>'Exp 2.3 - DBD_DutyCycle_sweep'!P36</f>
        <v>0.35799999999999998</v>
      </c>
      <c r="N171">
        <f>'Exp 2.3 - DBD_DutyCycle_sweep'!S36</f>
        <v>0.31217600000000001</v>
      </c>
      <c r="O171">
        <f>'Exp 2.3 - DBD_DutyCycle_sweep'!U36</f>
        <v>-0.11840396830650105</v>
      </c>
      <c r="P171">
        <f>'Exp 2.3 - DBD_DutyCycle_sweep'!V36</f>
        <v>-3.6697367764782406E-2</v>
      </c>
      <c r="Q171">
        <f>'Exp 2.3 - DBD_DutyCycle_sweep'!X36</f>
        <v>-3.78E-2</v>
      </c>
      <c r="R171">
        <f t="shared" si="10"/>
        <v>-4.8286010216818953</v>
      </c>
      <c r="S171">
        <f>'Exp 2.3 - DBD_DutyCycle_sweep'!AA36</f>
        <v>0.24536640788453373</v>
      </c>
      <c r="T171">
        <f>'Exp 2.3 - DBD_DutyCycle_sweep'!AM36</f>
        <v>28</v>
      </c>
      <c r="U171">
        <f>'Exp 2.3 - DBD_DutyCycle_sweep'!AO36</f>
        <v>0</v>
      </c>
      <c r="V171">
        <f>IF($L171="","",$L171*Equipment!$B$16/100)</f>
        <v>2.6160000000000003E-2</v>
      </c>
      <c r="W171">
        <f>IF($P171="","",$P171*Equipment!$B$19/100)</f>
        <v>-2.2018420658869442E-3</v>
      </c>
      <c r="X171" t="str">
        <f t="shared" si="11"/>
        <v>ok</v>
      </c>
      <c r="Y171">
        <f>'Exp 2.3 - DBD_DutyCycle_sweep'!AR36</f>
        <v>0</v>
      </c>
    </row>
    <row r="172" spans="1:25" x14ac:dyDescent="0.3">
      <c r="A172" t="s">
        <v>20</v>
      </c>
      <c r="B172" t="str">
        <f>'Exp 2.3 - DBD_DutyCycle_sweep'!A37</f>
        <v>BLOCK 3</v>
      </c>
      <c r="C172" t="str">
        <f>'Exp 2.3 - DBD_DutyCycle_sweep'!C37</f>
        <v>SQUARE</v>
      </c>
      <c r="D172">
        <f>'Exp 2.3 - DBD_DutyCycle_sweep'!D37</f>
        <v>3</v>
      </c>
      <c r="E172">
        <f>'Exp 2.3 - DBD_DutyCycle_sweep'!E37</f>
        <v>5</v>
      </c>
      <c r="F172">
        <f>'Exp 2.3 - DBD_DutyCycle_sweep'!G37</f>
        <v>20</v>
      </c>
      <c r="G172">
        <f>'Exp 2.3 - DBD_DutyCycle_sweep'!H37</f>
        <v>4</v>
      </c>
      <c r="H172">
        <f>'Exp 2.3 - DBD_DutyCycle_sweep'!I37</f>
        <v>3.87</v>
      </c>
      <c r="I172">
        <f>'Exp 2.3 - DBD_DutyCycle_sweep'!L37</f>
        <v>0.13</v>
      </c>
      <c r="J172">
        <f>'Exp 2.3 - DBD_DutyCycle_sweep'!M37</f>
        <v>0.52</v>
      </c>
      <c r="K172">
        <f>'Exp 2.3 - DBD_DutyCycle_sweep'!N37</f>
        <v>1.66</v>
      </c>
      <c r="L172">
        <f>'Exp 2.3 - DBD_DutyCycle_sweep'!O37</f>
        <v>0.53600000000000003</v>
      </c>
      <c r="M172">
        <f>'Exp 2.3 - DBD_DutyCycle_sweep'!P37</f>
        <v>0.33500000000000002</v>
      </c>
      <c r="N172">
        <f>'Exp 2.3 - DBD_DutyCycle_sweep'!S37</f>
        <v>0.17956000000000003</v>
      </c>
      <c r="O172">
        <f>'Exp 2.3 - DBD_DutyCycle_sweep'!U37</f>
        <v>-0.24022804247726387</v>
      </c>
      <c r="P172">
        <f>'Exp 2.3 - DBD_DutyCycle_sweep'!V37</f>
        <v>-4.2975090787806203E-2</v>
      </c>
      <c r="Q172">
        <f>'Exp 2.3 - DBD_DutyCycle_sweep'!X37</f>
        <v>-4.2999999999999997E-2</v>
      </c>
      <c r="R172">
        <f t="shared" si="10"/>
        <v>-8.2644405361165774</v>
      </c>
      <c r="S172">
        <f>'Exp 2.3 - DBD_DutyCycle_sweep'!AA37</f>
        <v>0.39845719237686184</v>
      </c>
      <c r="T172">
        <f>'Exp 2.3 - DBD_DutyCycle_sweep'!AM37</f>
        <v>27</v>
      </c>
      <c r="U172">
        <f>'Exp 2.3 - DBD_DutyCycle_sweep'!AO37</f>
        <v>0</v>
      </c>
      <c r="V172">
        <f>IF($L172="","",$L172*Equipment!$B$16/100)</f>
        <v>1.6080000000000001E-2</v>
      </c>
      <c r="W172">
        <f>IF($P172="","",$P172*Equipment!$B$19/100)</f>
        <v>-2.5785054472683721E-3</v>
      </c>
      <c r="X172" t="str">
        <f t="shared" si="11"/>
        <v>⚠ suspect (déphasage/deskew probable)</v>
      </c>
      <c r="Y172">
        <f>'Exp 2.3 - DBD_DutyCycle_sweep'!AR37</f>
        <v>0</v>
      </c>
    </row>
    <row r="173" spans="1:25" x14ac:dyDescent="0.3">
      <c r="A173" t="s">
        <v>20</v>
      </c>
      <c r="B173" t="str">
        <f>'Exp 2.3 - DBD_DutyCycle_sweep'!A38</f>
        <v>BLOCK 3</v>
      </c>
      <c r="C173" t="str">
        <f>'Exp 2.3 - DBD_DutyCycle_sweep'!C38</f>
        <v>SQUARE</v>
      </c>
      <c r="D173">
        <f>'Exp 2.3 - DBD_DutyCycle_sweep'!D38</f>
        <v>3</v>
      </c>
      <c r="E173">
        <f>'Exp 2.3 - DBD_DutyCycle_sweep'!E38</f>
        <v>5</v>
      </c>
      <c r="F173">
        <f>'Exp 2.3 - DBD_DutyCycle_sweep'!G38</f>
        <v>10</v>
      </c>
      <c r="G173">
        <f>'Exp 2.3 - DBD_DutyCycle_sweep'!H38</f>
        <v>4</v>
      </c>
      <c r="H173">
        <f>'Exp 2.3 - DBD_DutyCycle_sweep'!I38</f>
        <v>3.87</v>
      </c>
      <c r="I173">
        <f>'Exp 2.3 - DBD_DutyCycle_sweep'!L38</f>
        <v>0.09</v>
      </c>
      <c r="J173">
        <f>'Exp 2.3 - DBD_DutyCycle_sweep'!M38</f>
        <v>0.36</v>
      </c>
      <c r="K173">
        <f>'Exp 2.3 - DBD_DutyCycle_sweep'!N38</f>
        <v>0.66500000000000004</v>
      </c>
      <c r="L173">
        <f>'Exp 2.3 - DBD_DutyCycle_sweep'!O38</f>
        <v>0.21299999999999999</v>
      </c>
      <c r="M173">
        <f>'Exp 2.3 - DBD_DutyCycle_sweep'!P38</f>
        <v>0.223</v>
      </c>
      <c r="N173">
        <f>'Exp 2.3 - DBD_DutyCycle_sweep'!S38</f>
        <v>4.7499E-2</v>
      </c>
      <c r="O173">
        <f>'Exp 2.3 - DBD_DutyCycle_sweep'!U38</f>
        <v>-0.70833983772452869</v>
      </c>
      <c r="P173">
        <f>'Exp 2.3 - DBD_DutyCycle_sweep'!V38</f>
        <v>-3.3605331158701776E-2</v>
      </c>
      <c r="Q173">
        <f>'Exp 2.3 - DBD_DutyCycle_sweep'!X38</f>
        <v>-3.3000000000000002E-2</v>
      </c>
      <c r="R173">
        <f t="shared" si="10"/>
        <v>-9.3348142107504923</v>
      </c>
      <c r="S173">
        <f>'Exp 2.3 - DBD_DutyCycle_sweep'!AA38</f>
        <v>0.28621633358719645</v>
      </c>
      <c r="T173">
        <f>'Exp 2.3 - DBD_DutyCycle_sweep'!AM38</f>
        <v>27</v>
      </c>
      <c r="U173">
        <f>'Exp 2.3 - DBD_DutyCycle_sweep'!AO38</f>
        <v>0</v>
      </c>
      <c r="V173">
        <f>IF($L173="","",$L173*Equipment!$B$16/100)</f>
        <v>6.3899999999999998E-3</v>
      </c>
      <c r="W173">
        <f>IF($P173="","",$P173*Equipment!$B$19/100)</f>
        <v>-2.0163198695221066E-3</v>
      </c>
      <c r="X173" t="str">
        <f t="shared" si="11"/>
        <v>⚠ suspect (déphasage/deskew probable)</v>
      </c>
      <c r="Y173">
        <f>'Exp 2.3 - DBD_DutyCycle_sweep'!AR38</f>
        <v>0</v>
      </c>
    </row>
    <row r="174" spans="1:25" x14ac:dyDescent="0.3">
      <c r="A174" t="s">
        <v>20</v>
      </c>
      <c r="B174" t="str">
        <f>'Exp 2.3 - DBD_DutyCycle_sweep'!A39</f>
        <v>BLOCK 3</v>
      </c>
      <c r="C174" t="str">
        <f>'Exp 2.3 - DBD_DutyCycle_sweep'!C39</f>
        <v>SQUARE</v>
      </c>
      <c r="D174">
        <f>'Exp 2.3 - DBD_DutyCycle_sweep'!D39</f>
        <v>3</v>
      </c>
      <c r="E174">
        <f>'Exp 2.3 - DBD_DutyCycle_sweep'!E39</f>
        <v>5</v>
      </c>
      <c r="F174">
        <f>'Exp 2.3 - DBD_DutyCycle_sweep'!G39</f>
        <v>5</v>
      </c>
      <c r="G174">
        <f>'Exp 2.3 - DBD_DutyCycle_sweep'!H39</f>
        <v>4</v>
      </c>
      <c r="H174">
        <f>'Exp 2.3 - DBD_DutyCycle_sweep'!I39</f>
        <v>3.87</v>
      </c>
      <c r="I174">
        <f>'Exp 2.3 - DBD_DutyCycle_sweep'!L39</f>
        <v>7.0000000000000007E-2</v>
      </c>
      <c r="J174">
        <f>'Exp 2.3 - DBD_DutyCycle_sweep'!M39</f>
        <v>0.28000000000000003</v>
      </c>
      <c r="K174">
        <f>'Exp 2.3 - DBD_DutyCycle_sweep'!N39</f>
        <v>0.313</v>
      </c>
      <c r="L174">
        <f>'Exp 2.3 - DBD_DutyCycle_sweep'!O39</f>
        <v>9.8000000000000004E-2</v>
      </c>
      <c r="M174">
        <f>'Exp 2.3 - DBD_DutyCycle_sweep'!P39</f>
        <v>0.14699999999999999</v>
      </c>
      <c r="N174">
        <f>'Exp 2.3 - DBD_DutyCycle_sweep'!S39</f>
        <v>1.4406E-2</v>
      </c>
      <c r="O174" t="str">
        <f>'Exp 2.3 - DBD_DutyCycle_sweep'!U39</f>
        <v/>
      </c>
      <c r="P174" t="str">
        <f>'Exp 2.3 - DBD_DutyCycle_sweep'!V39</f>
        <v/>
      </c>
      <c r="Q174">
        <f>'Exp 2.3 - DBD_DutyCycle_sweep'!X39</f>
        <v>-3.5000000000000003E-2</v>
      </c>
      <c r="R174" t="str">
        <f t="shared" si="10"/>
        <v/>
      </c>
      <c r="S174">
        <f>'Exp 2.3 - DBD_DutyCycle_sweep'!AA39</f>
        <v>0.34084137000395481</v>
      </c>
      <c r="T174">
        <f>'Exp 2.3 - DBD_DutyCycle_sweep'!AM39</f>
        <v>26</v>
      </c>
      <c r="U174">
        <f>'Exp 2.3 - DBD_DutyCycle_sweep'!AO39</f>
        <v>0</v>
      </c>
      <c r="V174">
        <f>IF($L174="","",$L174*Equipment!$B$16/100)</f>
        <v>2.9400000000000003E-3</v>
      </c>
      <c r="W174" t="str">
        <f>IF($P174="","",$P174*Equipment!$B$19/100)</f>
        <v/>
      </c>
      <c r="X174" t="str">
        <f t="shared" si="11"/>
        <v/>
      </c>
      <c r="Y174">
        <f>'Exp 2.3 - DBD_DutyCycle_sweep'!AR39</f>
        <v>0</v>
      </c>
    </row>
    <row r="175" spans="1:25" x14ac:dyDescent="0.3">
      <c r="A175" t="s">
        <v>20</v>
      </c>
      <c r="B175" t="str">
        <f>'Exp 2.3 - DBD_DutyCycle_sweep'!A41</f>
        <v>BLOCK 4</v>
      </c>
      <c r="C175" t="str">
        <f>'Exp 2.3 - DBD_DutyCycle_sweep'!C41</f>
        <v>PULSE</v>
      </c>
      <c r="D175">
        <f>'Exp 2.3 - DBD_DutyCycle_sweep'!D41</f>
        <v>3</v>
      </c>
      <c r="E175">
        <f>'Exp 2.3 - DBD_DutyCycle_sweep'!E41</f>
        <v>5</v>
      </c>
      <c r="F175">
        <f>'Exp 2.3 - DBD_DutyCycle_sweep'!G41</f>
        <v>10</v>
      </c>
      <c r="G175">
        <f>'Exp 2.3 - DBD_DutyCycle_sweep'!H41</f>
        <v>15</v>
      </c>
      <c r="H175">
        <f>'Exp 2.3 - DBD_DutyCycle_sweep'!I41</f>
        <v>14.9</v>
      </c>
      <c r="I175">
        <f>'Exp 2.3 - DBD_DutyCycle_sweep'!L41</f>
        <v>0.14000000000000001</v>
      </c>
      <c r="J175">
        <f>'Exp 2.3 - DBD_DutyCycle_sweep'!M41</f>
        <v>2.1</v>
      </c>
      <c r="K175">
        <f>'Exp 2.3 - DBD_DutyCycle_sweep'!N41</f>
        <v>6.79</v>
      </c>
      <c r="L175">
        <f>'Exp 2.3 - DBD_DutyCycle_sweep'!O41</f>
        <v>1.07</v>
      </c>
      <c r="M175">
        <f>'Exp 2.3 - DBD_DutyCycle_sweep'!P41</f>
        <v>0.64800000000000002</v>
      </c>
      <c r="N175">
        <f>'Exp 2.3 - DBD_DutyCycle_sweep'!S41</f>
        <v>0.69336000000000009</v>
      </c>
      <c r="O175">
        <f>'Exp 2.3 - DBD_DutyCycle_sweep'!U41</f>
        <v>0.13225639025712246</v>
      </c>
      <c r="P175">
        <f>'Exp 2.3 - DBD_DutyCycle_sweep'!V41</f>
        <v>9.2202341542044694E-2</v>
      </c>
      <c r="Q175">
        <f>'Exp 2.3 - DBD_DutyCycle_sweep'!X41</f>
        <v>9.2799999999999994E-2</v>
      </c>
      <c r="R175">
        <f t="shared" si="10"/>
        <v>4.3905876924783183</v>
      </c>
      <c r="S175" t="str">
        <f>'Exp 2.3 - DBD_DutyCycle_sweep'!AA41</f>
        <v/>
      </c>
      <c r="T175">
        <f>'Exp 2.3 - DBD_DutyCycle_sweep'!AM41</f>
        <v>28</v>
      </c>
      <c r="U175">
        <f>'Exp 2.3 - DBD_DutyCycle_sweep'!AO41</f>
        <v>1</v>
      </c>
      <c r="V175">
        <f>IF($L175="","",$L175*Equipment!$B$16/100)</f>
        <v>3.2099999999999997E-2</v>
      </c>
      <c r="W175">
        <f>IF($P175="","",$P175*Equipment!$B$19/100)</f>
        <v>5.5321404925226811E-3</v>
      </c>
      <c r="X175" t="str">
        <f t="shared" si="11"/>
        <v>ok</v>
      </c>
      <c r="Y175" t="str">
        <f>'Exp 2.3 - DBD_DutyCycle_sweep'!AR41</f>
        <v>pulsation caused by the garbage collector interrupting the pulse train</v>
      </c>
    </row>
    <row r="176" spans="1:25" x14ac:dyDescent="0.3">
      <c r="A176" t="s">
        <v>20</v>
      </c>
      <c r="B176" t="str">
        <f>'Exp 2.3 - DBD_DutyCycle_sweep'!A42</f>
        <v>BLOCK 4</v>
      </c>
      <c r="C176" t="str">
        <f>'Exp 2.3 - DBD_DutyCycle_sweep'!C42</f>
        <v>PULSE</v>
      </c>
      <c r="D176">
        <f>'Exp 2.3 - DBD_DutyCycle_sweep'!D42</f>
        <v>3</v>
      </c>
      <c r="E176">
        <f>'Exp 2.3 - DBD_DutyCycle_sweep'!E42</f>
        <v>5</v>
      </c>
      <c r="F176">
        <f>'Exp 2.3 - DBD_DutyCycle_sweep'!G42</f>
        <v>25</v>
      </c>
      <c r="G176">
        <f>'Exp 2.3 - DBD_DutyCycle_sweep'!H42</f>
        <v>15</v>
      </c>
      <c r="H176">
        <f>'Exp 2.3 - DBD_DutyCycle_sweep'!I42</f>
        <v>14.91</v>
      </c>
      <c r="I176">
        <f>'Exp 2.3 - DBD_DutyCycle_sweep'!L42</f>
        <v>0.36</v>
      </c>
      <c r="J176">
        <f>'Exp 2.3 - DBD_DutyCycle_sweep'!M42</f>
        <v>5.3999999999999995</v>
      </c>
      <c r="K176">
        <f>'Exp 2.3 - DBD_DutyCycle_sweep'!N42</f>
        <v>8.1</v>
      </c>
      <c r="L176">
        <f>'Exp 2.3 - DBD_DutyCycle_sweep'!O42</f>
        <v>1.07</v>
      </c>
      <c r="M176">
        <f>'Exp 2.3 - DBD_DutyCycle_sweep'!P42</f>
        <v>1.87</v>
      </c>
      <c r="N176">
        <f>'Exp 2.3 - DBD_DutyCycle_sweep'!S42</f>
        <v>2.0009000000000001</v>
      </c>
      <c r="O176">
        <f>'Exp 2.3 - DBD_DutyCycle_sweep'!U42</f>
        <v>-0.10279253678724679</v>
      </c>
      <c r="P176">
        <f>'Exp 2.3 - DBD_DutyCycle_sweep'!V42</f>
        <v>-0.2039886821450457</v>
      </c>
      <c r="Q176">
        <f>'Exp 2.3 - DBD_DutyCycle_sweep'!X42</f>
        <v>-0.39900000000000002</v>
      </c>
      <c r="R176">
        <f t="shared" si="10"/>
        <v>-3.7775681878712173</v>
      </c>
      <c r="S176" t="str">
        <f>'Exp 2.3 - DBD_DutyCycle_sweep'!AA42</f>
        <v/>
      </c>
      <c r="T176">
        <f>'Exp 2.3 - DBD_DutyCycle_sweep'!AM42</f>
        <v>43</v>
      </c>
      <c r="U176">
        <f>'Exp 2.3 - DBD_DutyCycle_sweep'!AO42</f>
        <v>1</v>
      </c>
      <c r="V176">
        <f>IF($L176="","",$L176*Equipment!$B$16/100)</f>
        <v>3.2099999999999997E-2</v>
      </c>
      <c r="W176">
        <f>IF($P176="","",$P176*Equipment!$B$19/100)</f>
        <v>-1.2239320928702741E-2</v>
      </c>
      <c r="X176" t="str">
        <f t="shared" si="11"/>
        <v>ok</v>
      </c>
      <c r="Y176" t="str">
        <f>'Exp 2.3 - DBD_DutyCycle_sweep'!AR42</f>
        <v>Same, and upward drift of the primary current.</v>
      </c>
    </row>
    <row r="177" spans="1:25" x14ac:dyDescent="0.3">
      <c r="A177" t="s">
        <v>20</v>
      </c>
      <c r="B177" t="str">
        <f>'Exp 2.3 - DBD_DutyCycle_sweep'!A43</f>
        <v>BLOCK 4</v>
      </c>
      <c r="C177" t="str">
        <f>'Exp 2.3 - DBD_DutyCycle_sweep'!C43</f>
        <v>PULSE</v>
      </c>
      <c r="D177">
        <f>'Exp 2.3 - DBD_DutyCycle_sweep'!D43</f>
        <v>3</v>
      </c>
      <c r="E177">
        <f>'Exp 2.3 - DBD_DutyCycle_sweep'!E43</f>
        <v>5</v>
      </c>
      <c r="F177">
        <f>'Exp 2.3 - DBD_DutyCycle_sweep'!G43</f>
        <v>10</v>
      </c>
      <c r="G177">
        <f>'Exp 2.3 - DBD_DutyCycle_sweep'!H43</f>
        <v>10</v>
      </c>
      <c r="H177">
        <f>'Exp 2.3 - DBD_DutyCycle_sweep'!I43</f>
        <v>9.36</v>
      </c>
      <c r="I177">
        <f>'Exp 2.3 - DBD_DutyCycle_sweep'!L43</f>
        <v>0.25</v>
      </c>
      <c r="J177">
        <f>'Exp 2.3 - DBD_DutyCycle_sweep'!M43</f>
        <v>2.5</v>
      </c>
      <c r="K177">
        <f>'Exp 2.3 - DBD_DutyCycle_sweep'!N43</f>
        <v>6.63</v>
      </c>
      <c r="L177">
        <f>'Exp 2.3 - DBD_DutyCycle_sweep'!O43</f>
        <v>1.25</v>
      </c>
      <c r="M177">
        <f>'Exp 2.3 - DBD_DutyCycle_sweep'!P43</f>
        <v>1.89</v>
      </c>
      <c r="N177">
        <f>'Exp 2.3 - DBD_DutyCycle_sweep'!S43</f>
        <v>2.3624999999999998</v>
      </c>
      <c r="O177">
        <f>'Exp 2.3 - DBD_DutyCycle_sweep'!U43</f>
        <v>-0.20791169081775912</v>
      </c>
      <c r="P177">
        <f>'Exp 2.3 - DBD_DutyCycle_sweep'!V43</f>
        <v>-0.48910559772663031</v>
      </c>
      <c r="Q177">
        <f>'Exp 2.3 - DBD_DutyCycle_sweep'!X43</f>
        <v>-0.48499999999999999</v>
      </c>
      <c r="R177">
        <f t="shared" si="10"/>
        <v>-19.564223909065213</v>
      </c>
      <c r="S177" t="str">
        <f>'Exp 2.3 - DBD_DutyCycle_sweep'!AA43</f>
        <v/>
      </c>
      <c r="T177">
        <f>'Exp 2.3 - DBD_DutyCycle_sweep'!AM43</f>
        <v>32</v>
      </c>
      <c r="U177">
        <f>'Exp 2.3 - DBD_DutyCycle_sweep'!AO43</f>
        <v>1</v>
      </c>
      <c r="V177">
        <f>IF($L177="","",$L177*Equipment!$B$16/100)</f>
        <v>3.7499999999999999E-2</v>
      </c>
      <c r="W177">
        <f>IF($P177="","",$P177*Equipment!$B$19/100)</f>
        <v>-2.9346335863597819E-2</v>
      </c>
      <c r="X177" t="str">
        <f t="shared" si="11"/>
        <v>⚠ suspect (déphasage/deskew probable)</v>
      </c>
      <c r="Y177" t="str">
        <f>'Exp 2.3 - DBD_DutyCycle_sweep'!AR43</f>
        <v>very faint plasma</v>
      </c>
    </row>
    <row r="178" spans="1:25" x14ac:dyDescent="0.3">
      <c r="A178" t="s">
        <v>20</v>
      </c>
      <c r="B178" t="str">
        <f>'Exp 2.3 - DBD_DutyCycle_sweep'!A44</f>
        <v>BLOCK 4</v>
      </c>
      <c r="C178" t="str">
        <f>'Exp 2.3 - DBD_DutyCycle_sweep'!C44</f>
        <v>PULSE</v>
      </c>
      <c r="D178">
        <f>'Exp 2.3 - DBD_DutyCycle_sweep'!D44</f>
        <v>3</v>
      </c>
      <c r="E178">
        <f>'Exp 2.3 - DBD_DutyCycle_sweep'!E44</f>
        <v>5</v>
      </c>
      <c r="F178">
        <f>'Exp 2.3 - DBD_DutyCycle_sweep'!G44</f>
        <v>25</v>
      </c>
      <c r="G178">
        <f>'Exp 2.3 - DBD_DutyCycle_sweep'!H44</f>
        <v>10</v>
      </c>
      <c r="H178">
        <f>'Exp 2.3 - DBD_DutyCycle_sweep'!I44</f>
        <v>9.35</v>
      </c>
      <c r="I178">
        <f>'Exp 2.3 - DBD_DutyCycle_sweep'!L44</f>
        <v>0.28000000000000003</v>
      </c>
      <c r="J178">
        <f>'Exp 2.3 - DBD_DutyCycle_sweep'!M44</f>
        <v>2.8000000000000003</v>
      </c>
      <c r="K178">
        <f>'Exp 2.3 - DBD_DutyCycle_sweep'!N44</f>
        <v>6.95</v>
      </c>
      <c r="L178">
        <f>'Exp 2.3 - DBD_DutyCycle_sweep'!O44</f>
        <v>1.31</v>
      </c>
      <c r="M178">
        <f>'Exp 2.3 - DBD_DutyCycle_sweep'!P44</f>
        <v>1.93</v>
      </c>
      <c r="N178">
        <f>'Exp 2.3 - DBD_DutyCycle_sweep'!S44</f>
        <v>2.5283000000000002</v>
      </c>
      <c r="O178">
        <f>'Exp 2.3 - DBD_DutyCycle_sweep'!U44</f>
        <v>-0.19936793441719705</v>
      </c>
      <c r="P178">
        <f>'Exp 2.3 - DBD_DutyCycle_sweep'!V44</f>
        <v>-0.50183671406201447</v>
      </c>
      <c r="Q178">
        <f>'Exp 2.3 - DBD_DutyCycle_sweep'!X44</f>
        <v>-0.501</v>
      </c>
      <c r="R178">
        <f t="shared" si="10"/>
        <v>-17.922739787929089</v>
      </c>
      <c r="S178" t="str">
        <f>'Exp 2.3 - DBD_DutyCycle_sweep'!AA44</f>
        <v/>
      </c>
      <c r="T178">
        <f>'Exp 2.3 - DBD_DutyCycle_sweep'!AM44</f>
        <v>33</v>
      </c>
      <c r="U178">
        <f>'Exp 2.3 - DBD_DutyCycle_sweep'!AO44</f>
        <v>1</v>
      </c>
      <c r="V178">
        <f>IF($L178="","",$L178*Equipment!$B$16/100)</f>
        <v>3.9300000000000002E-2</v>
      </c>
      <c r="W178">
        <f>IF($P178="","",$P178*Equipment!$B$19/100)</f>
        <v>-3.011020284372087E-2</v>
      </c>
      <c r="X178" t="str">
        <f t="shared" si="11"/>
        <v>⚠ suspect (déphasage/deskew probable)</v>
      </c>
      <c r="Y178" t="str">
        <f>'Exp 2.3 - DBD_DutyCycle_sweep'!AR44</f>
        <v>very faint plasma</v>
      </c>
    </row>
    <row r="179" spans="1:25" x14ac:dyDescent="0.3">
      <c r="A179" t="s">
        <v>20</v>
      </c>
      <c r="B179" t="str">
        <f>'Exp 2.3 - DBD_DutyCycle_sweep'!A45</f>
        <v>BLOCK 4</v>
      </c>
      <c r="C179" t="str">
        <f>'Exp 2.3 - DBD_DutyCycle_sweep'!C45</f>
        <v>PULSE</v>
      </c>
      <c r="D179">
        <f>'Exp 2.3 - DBD_DutyCycle_sweep'!D45</f>
        <v>3</v>
      </c>
      <c r="E179">
        <f>'Exp 2.3 - DBD_DutyCycle_sweep'!E45</f>
        <v>5</v>
      </c>
      <c r="F179">
        <f>'Exp 2.3 - DBD_DutyCycle_sweep'!G45</f>
        <v>40</v>
      </c>
      <c r="G179">
        <f>'Exp 2.3 - DBD_DutyCycle_sweep'!H45</f>
        <v>10</v>
      </c>
      <c r="H179">
        <f>'Exp 2.3 - DBD_DutyCycle_sweep'!I45</f>
        <v>9.34</v>
      </c>
      <c r="I179">
        <f>'Exp 2.3 - DBD_DutyCycle_sweep'!L45</f>
        <v>0.54</v>
      </c>
      <c r="J179">
        <f>'Exp 2.3 - DBD_DutyCycle_sweep'!M45</f>
        <v>5.4</v>
      </c>
      <c r="K179">
        <f>'Exp 2.3 - DBD_DutyCycle_sweep'!N45</f>
        <v>8.2899999999999991</v>
      </c>
      <c r="L179">
        <f>'Exp 2.3 - DBD_DutyCycle_sweep'!O45</f>
        <v>1.83</v>
      </c>
      <c r="M179">
        <f>'Exp 2.3 - DBD_DutyCycle_sweep'!P45</f>
        <v>2.19</v>
      </c>
      <c r="N179">
        <f>'Exp 2.3 - DBD_DutyCycle_sweep'!S45</f>
        <v>4.0076999999999998</v>
      </c>
      <c r="O179">
        <f>'Exp 2.3 - DBD_DutyCycle_sweep'!U45</f>
        <v>-8.367784333231533E-2</v>
      </c>
      <c r="P179">
        <f>'Exp 2.3 - DBD_DutyCycle_sweep'!V45</f>
        <v>-0.33200571594647693</v>
      </c>
      <c r="Q179">
        <f>'Exp 2.3 - DBD_DutyCycle_sweep'!X45</f>
        <v>-0.35099999999999998</v>
      </c>
      <c r="R179">
        <f t="shared" si="10"/>
        <v>-6.1482539990088316</v>
      </c>
      <c r="S179" t="str">
        <f>'Exp 2.3 - DBD_DutyCycle_sweep'!AA45</f>
        <v/>
      </c>
      <c r="T179">
        <f>'Exp 2.3 - DBD_DutyCycle_sweep'!AM45</f>
        <v>37</v>
      </c>
      <c r="U179">
        <f>'Exp 2.3 - DBD_DutyCycle_sweep'!AO45</f>
        <v>1</v>
      </c>
      <c r="V179">
        <f>IF($L179="","",$L179*Equipment!$B$16/100)</f>
        <v>5.4900000000000004E-2</v>
      </c>
      <c r="W179">
        <f>IF($P179="","",$P179*Equipment!$B$19/100)</f>
        <v>-1.9920342956788618E-2</v>
      </c>
      <c r="X179" t="str">
        <f t="shared" si="11"/>
        <v>⚠ suspect (déphasage/deskew probable)</v>
      </c>
      <c r="Y179" t="str">
        <f>'Exp 2.3 - DBD_DutyCycle_sweep'!AR45</f>
        <v>slightly more intense plasma</v>
      </c>
    </row>
    <row r="180" spans="1:25" x14ac:dyDescent="0.3">
      <c r="A180" t="s">
        <v>20</v>
      </c>
      <c r="B180" t="str">
        <f>'Exp 2.3 - DBD_DutyCycle_sweep'!A46</f>
        <v>BLOCK 4</v>
      </c>
      <c r="C180" t="str">
        <f>'Exp 2.3 - DBD_DutyCycle_sweep'!C46</f>
        <v>PULSE</v>
      </c>
      <c r="D180">
        <f>'Exp 2.3 - DBD_DutyCycle_sweep'!D46</f>
        <v>3</v>
      </c>
      <c r="E180">
        <f>'Exp 2.3 - DBD_DutyCycle_sweep'!E46</f>
        <v>5</v>
      </c>
      <c r="F180">
        <f>'Exp 2.3 - DBD_DutyCycle_sweep'!G46</f>
        <v>50</v>
      </c>
      <c r="G180">
        <f>'Exp 2.3 - DBD_DutyCycle_sweep'!H46</f>
        <v>10</v>
      </c>
      <c r="H180">
        <f>'Exp 2.3 - DBD_DutyCycle_sweep'!I46</f>
        <v>9.35</v>
      </c>
      <c r="I180">
        <f>'Exp 2.3 - DBD_DutyCycle_sweep'!L46</f>
        <v>1.1200000000000001</v>
      </c>
      <c r="J180">
        <f>'Exp 2.3 - DBD_DutyCycle_sweep'!M46</f>
        <v>11.200000000000001</v>
      </c>
      <c r="K180">
        <f>'Exp 2.3 - DBD_DutyCycle_sweep'!N46</f>
        <v>10.38</v>
      </c>
      <c r="L180">
        <f>'Exp 2.3 - DBD_DutyCycle_sweep'!O46</f>
        <v>2.67</v>
      </c>
      <c r="M180">
        <f>'Exp 2.3 - DBD_DutyCycle_sweep'!P46</f>
        <v>3.47</v>
      </c>
      <c r="N180">
        <f>'Exp 2.3 - DBD_DutyCycle_sweep'!S46</f>
        <v>9.2649000000000008</v>
      </c>
      <c r="O180">
        <f>'Exp 2.3 - DBD_DutyCycle_sweep'!U46</f>
        <v>-0.13744454603714645</v>
      </c>
      <c r="P180">
        <f>'Exp 2.3 - DBD_DutyCycle_sweep'!V46</f>
        <v>-1.2654601614058418</v>
      </c>
      <c r="Q180">
        <f>'Exp 2.3 - DBD_DutyCycle_sweep'!X46</f>
        <v>-1.26</v>
      </c>
      <c r="R180">
        <f t="shared" si="10"/>
        <v>-11.298751441123587</v>
      </c>
      <c r="S180" t="str">
        <f>'Exp 2.3 - DBD_DutyCycle_sweep'!AA46</f>
        <v/>
      </c>
      <c r="T180">
        <f>'Exp 2.3 - DBD_DutyCycle_sweep'!AM46</f>
        <v>42</v>
      </c>
      <c r="U180">
        <f>'Exp 2.3 - DBD_DutyCycle_sweep'!AO46</f>
        <v>1</v>
      </c>
      <c r="V180">
        <f>IF($L180="","",$L180*Equipment!$B$16/100)</f>
        <v>8.0100000000000005E-2</v>
      </c>
      <c r="W180">
        <f>IF($P180="","",$P180*Equipment!$B$19/100)</f>
        <v>-7.5927609684350514E-2</v>
      </c>
      <c r="X180" t="str">
        <f t="shared" si="11"/>
        <v>⚠ suspect (déphasage/deskew probable)</v>
      </c>
      <c r="Y180" t="str">
        <f>'Exp 2.3 - DBD_DutyCycle_sweep'!AR46</f>
        <v>plasma and current drift</v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Equipment</vt:lpstr>
      <vt:lpstr>Exp 1 - Probe_Characterization</vt:lpstr>
      <vt:lpstr>Exp 2.1 - DBD_V_sweep</vt:lpstr>
      <vt:lpstr>Exp 2.2 - DBD_Freq_sweep</vt:lpstr>
      <vt:lpstr>Exp 2.3 - DBD_DutyCycle_sweep</vt:lpstr>
      <vt:lpstr>Exp 3 - Thermal_test</vt:lpstr>
      <vt:lpstr>Exp 4 - Reproducibility</vt:lpstr>
      <vt:lpstr>Data_consolidated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SERRA Teo</cp:lastModifiedBy>
  <dcterms:created xsi:type="dcterms:W3CDTF">2026-04-20T15:01:34Z</dcterms:created>
  <dcterms:modified xsi:type="dcterms:W3CDTF">2026-10-15T16:31:39Z</dcterms:modified>
</cp:coreProperties>
</file>