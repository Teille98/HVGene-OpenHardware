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eo\Documents\SynologyDrive\Obsidian_COSMIC\04_Rédaction\1_Articles\generator_hardwareX\"/>
    </mc:Choice>
  </mc:AlternateContent>
  <xr:revisionPtr revIDLastSave="0" documentId="13_ncr:1_{276D63D6-C903-45AF-9BCC-ADDB4A00137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CB_comp" sheetId="1" r:id="rId1"/>
    <sheet name="ELEC_comp" sheetId="2" r:id="rId2"/>
    <sheet name="MECHA_comp" sheetId="3" r:id="rId3"/>
    <sheet name="TOT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G25" i="2"/>
  <c r="H21" i="2"/>
  <c r="G5" i="3"/>
  <c r="H5" i="3" s="1"/>
  <c r="G24" i="2"/>
  <c r="H24" i="2" s="1"/>
  <c r="F3" i="3"/>
  <c r="F4" i="3" s="1"/>
  <c r="G16" i="3"/>
  <c r="H16" i="3" s="1"/>
  <c r="G13" i="3"/>
  <c r="H13" i="3" s="1"/>
  <c r="H25" i="3"/>
  <c r="G21" i="3"/>
  <c r="H21" i="3" s="1"/>
  <c r="H3" i="1"/>
  <c r="G24" i="1"/>
  <c r="H24" i="1"/>
  <c r="H26" i="1"/>
  <c r="C2" i="4" s="1"/>
  <c r="H10" i="1"/>
  <c r="H7" i="1"/>
  <c r="H14" i="1"/>
  <c r="H12" i="1"/>
  <c r="H16" i="1"/>
  <c r="H17" i="1"/>
  <c r="H18" i="1"/>
  <c r="H22" i="1"/>
  <c r="G22" i="1"/>
  <c r="G23" i="1"/>
  <c r="H23" i="1"/>
  <c r="H8" i="1"/>
  <c r="H11" i="1"/>
  <c r="H9" i="1"/>
  <c r="H13" i="1"/>
  <c r="H20" i="1"/>
  <c r="G21" i="1"/>
  <c r="H21" i="1"/>
  <c r="H4" i="1"/>
  <c r="H15" i="1"/>
  <c r="H6" i="1"/>
  <c r="H5" i="1"/>
  <c r="H19" i="1"/>
  <c r="H15" i="2"/>
  <c r="G23" i="2"/>
  <c r="H23" i="2"/>
  <c r="H13" i="2"/>
  <c r="H8" i="2"/>
  <c r="H18" i="2"/>
  <c r="G7" i="2"/>
  <c r="H7" i="2" s="1"/>
  <c r="G27" i="2"/>
  <c r="H27" i="2" s="1"/>
  <c r="H16" i="2"/>
  <c r="H9" i="2"/>
  <c r="H10" i="2"/>
  <c r="H20" i="2"/>
  <c r="G26" i="2"/>
  <c r="H26" i="2" s="1"/>
  <c r="H12" i="2"/>
  <c r="H5" i="2"/>
  <c r="G14" i="2"/>
  <c r="H14" i="2" s="1"/>
  <c r="F22" i="2"/>
  <c r="G22" i="2"/>
  <c r="H19" i="2"/>
  <c r="G17" i="2"/>
  <c r="H17" i="2" s="1"/>
  <c r="G3" i="2"/>
  <c r="H3" i="2" s="1"/>
  <c r="H4" i="2"/>
  <c r="G12" i="3"/>
  <c r="H12" i="3" s="1"/>
  <c r="G22" i="3"/>
  <c r="H22" i="3" s="1"/>
  <c r="G23" i="3"/>
  <c r="H23" i="3" s="1"/>
  <c r="G14" i="3"/>
  <c r="F14" i="3"/>
  <c r="F9" i="3"/>
  <c r="G9" i="3"/>
  <c r="G24" i="3"/>
  <c r="H24" i="3" s="1"/>
  <c r="G15" i="3"/>
  <c r="H15" i="3" s="1"/>
  <c r="H27" i="3"/>
  <c r="G26" i="3"/>
  <c r="H26" i="3" s="1"/>
  <c r="G10" i="3"/>
  <c r="F10" i="3"/>
  <c r="G18" i="3"/>
  <c r="H18" i="3" s="1"/>
  <c r="F11" i="3"/>
  <c r="G11" i="3"/>
  <c r="G17" i="3"/>
  <c r="H17" i="3" s="1"/>
  <c r="F8" i="3"/>
  <c r="G8" i="3"/>
  <c r="G3" i="3"/>
  <c r="H8" i="3" l="1"/>
  <c r="H3" i="3"/>
  <c r="H14" i="3"/>
  <c r="H22" i="2"/>
  <c r="H29" i="2" s="1"/>
  <c r="C3" i="4" s="1"/>
  <c r="H11" i="3"/>
  <c r="H9" i="3"/>
  <c r="H10" i="3"/>
  <c r="H41" i="3" l="1"/>
  <c r="C4" i="4" s="1"/>
  <c r="C5" i="4" s="1"/>
</calcChain>
</file>

<file path=xl/sharedStrings.xml><?xml version="1.0" encoding="utf-8"?>
<sst xmlns="http://schemas.openxmlformats.org/spreadsheetml/2006/main" count="403" uniqueCount="228">
  <si>
    <t>Designator</t>
  </si>
  <si>
    <t>Part</t>
  </si>
  <si>
    <t>Value</t>
  </si>
  <si>
    <t>Component</t>
  </si>
  <si>
    <t>Number</t>
  </si>
  <si>
    <r>
      <rPr>
        <b/>
        <sz val="10"/>
        <color rgb="FF000000"/>
        <rFont val="Arial"/>
        <family val="2"/>
      </rPr>
      <t xml:space="preserve">Cost per unit -
</t>
    </r>
    <r>
      <rPr>
        <sz val="11"/>
        <color rgb="FF000000"/>
        <rFont val="Calibri"/>
        <family val="2"/>
      </rPr>
      <t>Currency</t>
    </r>
  </si>
  <si>
    <r>
      <rPr>
        <b/>
        <sz val="10"/>
        <color rgb="FF000000"/>
        <rFont val="Arial"/>
        <family val="2"/>
      </rPr>
      <t xml:space="preserve">Total cost -
</t>
    </r>
    <r>
      <rPr>
        <sz val="11"/>
        <color rgb="FF000000"/>
        <rFont val="Calibri"/>
        <family val="2"/>
      </rPr>
      <t>Currency</t>
    </r>
  </si>
  <si>
    <t>Supplier</t>
  </si>
  <si>
    <t>Source of materials</t>
  </si>
  <si>
    <t>Material type</t>
  </si>
  <si>
    <t>U1</t>
  </si>
  <si>
    <t>MicroC</t>
  </si>
  <si>
    <t>/</t>
  </si>
  <si>
    <t>Seeed Studio XIAO RP2040</t>
  </si>
  <si>
    <t>RS</t>
  </si>
  <si>
    <t>U2, U3</t>
  </si>
  <si>
    <t>IC</t>
  </si>
  <si>
    <t>MCP1416T-E/OT</t>
  </si>
  <si>
    <t>Mouser</t>
  </si>
  <si>
    <t>https://www.mouser.be/ProductDetail/Microchip-Technology/MCP1416T-E-OT?qs=hH%252BOa0VZEiBT%252BgAjATFU6A%3D%3D</t>
  </si>
  <si>
    <t>IC1</t>
  </si>
  <si>
    <t>LM2574-5.0YN</t>
  </si>
  <si>
    <t>https://www.mouser.be/ProductDetail/Microchip-Technology/LM2574-5.0YN?qs=kh6iOki%2FeLG8tRVzGWSPaw%3D%3D</t>
  </si>
  <si>
    <t>Q1, Q2</t>
  </si>
  <si>
    <t>MOSFET</t>
  </si>
  <si>
    <t>IRFI4321PBF</t>
  </si>
  <si>
    <t>https://www.mouser.be/ProductDetail/Infineon-Technologies/IRFI4321PBF?qs=9%252BKlkBgLFf1U%252BCGUGLBmvA%3D%3D</t>
  </si>
  <si>
    <t>D1, D2</t>
  </si>
  <si>
    <t>Diode</t>
  </si>
  <si>
    <t>UF4005</t>
  </si>
  <si>
    <t>https://www.mouser.be/ProductDetail/Diotec-Semiconductor/UF4005?qs=OlC7AqGiEDkmzrSpAlXJ9Q%3D%3D</t>
  </si>
  <si>
    <t>D3</t>
  </si>
  <si>
    <t>SB160-E3/54</t>
  </si>
  <si>
    <t>https://www.mouser.be/ProductDetail/Vishay-General-Semiconductor/SB160-E3-54?qs=u91jd7aysvPQGAQKmVmbIA%3D%3D</t>
  </si>
  <si>
    <t>R1, R2</t>
  </si>
  <si>
    <t>Resistor</t>
  </si>
  <si>
    <t>100 KOhm</t>
  </si>
  <si>
    <t>FMP300FRF73-100K</t>
  </si>
  <si>
    <t>https://www.mouser.be/ProductDetail/YAGEO/FMP300FRF73-100K?qs=sGAEpiMZZMtlubZbdhIBIF%2FGnnak3iO4jCmQasHVweQ%3D</t>
  </si>
  <si>
    <t>R3, R4</t>
  </si>
  <si>
    <t>47 KOhm</t>
  </si>
  <si>
    <t>LR1F47K</t>
  </si>
  <si>
    <t>https://www.mouser.be/ProductDetail/TE-Connectivity-Holsworthy/LR1F47K?qs=sGAEpiMZZMtlubZbdhIBIFho3SHfDXStgXkWbW4sCW8%3D</t>
  </si>
  <si>
    <t>C1, C2</t>
  </si>
  <si>
    <t>Capacitor</t>
  </si>
  <si>
    <t>0,01 uF</t>
  </si>
  <si>
    <t>RDER73A103K2K1H03B</t>
  </si>
  <si>
    <t>https://www.mouser.be/ProductDetail/Murata-Electronics/RDER73A103K2K1H03B?qs=sGAEpiMZZMsh%252B1woXyUXjwuZcO7kv9IeGoxVbAsCJAw%3D</t>
  </si>
  <si>
    <t>C3, C5</t>
  </si>
  <si>
    <t>0,1 uF</t>
  </si>
  <si>
    <t>K104K15X7RF5WH5</t>
  </si>
  <si>
    <t>https://www.mouser.be/ProductDetail/Vishay-BC-Components/K104K15X7RF5WH5?qs=8fb2TFeI5qGYDjl7%252BWZxcg%3D%3D</t>
  </si>
  <si>
    <t>C4, C6</t>
  </si>
  <si>
    <t>1 uF</t>
  </si>
  <si>
    <t>FG28X7R1E105KRT00</t>
  </si>
  <si>
    <t>https://www.mouser.be/ProductDetail/TDK/FG28X7R1E105KRT00?qs=vNwBHymccZ9WlwKQSeNEkg%3D%3D</t>
  </si>
  <si>
    <t>C7</t>
  </si>
  <si>
    <t>10 uF</t>
  </si>
  <si>
    <t>FK24X5R1A106K</t>
  </si>
  <si>
    <t>https://www.mouser.be/ProductDetail/TDK/FK24X5R1A106K?qs=zLBlM7QTTNplmyxmjYlQjw%3D%3D</t>
  </si>
  <si>
    <t>C8</t>
  </si>
  <si>
    <t>22 uF</t>
  </si>
  <si>
    <t>https://www.mouser.be/ProductDetail/Wurth-Elektronik/860020672011?qs=0KOYDY2FL2%2FKkbEhyek4UA%3D%3D</t>
  </si>
  <si>
    <t>C9</t>
  </si>
  <si>
    <t>220 uF</t>
  </si>
  <si>
    <t>ESH227M050AH1AA</t>
  </si>
  <si>
    <t>https://www.mouser.be/ProductDetail/KEMET/ESH227M050AH1AA?qs=w9hhVRgtvfmnb2YOvt619g%3D%3D</t>
  </si>
  <si>
    <t>L1</t>
  </si>
  <si>
    <t>Inductor</t>
  </si>
  <si>
    <t>330 uH</t>
  </si>
  <si>
    <t>https://www.mouser.be/ProductDetail/Wurth-Elektronik/7447471331?qs=VxkwJfKV0FSJeL%252B3Zn%2FUiQ%3D%3D</t>
  </si>
  <si>
    <t>JP1</t>
  </si>
  <si>
    <t>Jumper</t>
  </si>
  <si>
    <t>https://www.mouser.be/ProductDetail/Wurth-Elektronik/60900213421?qs=W%252B2sBeLta1bsO5t19%2FBN7Q%3D%3D</t>
  </si>
  <si>
    <t>J1, J2</t>
  </si>
  <si>
    <t>Connector</t>
  </si>
  <si>
    <t>RS PRO, 2 Way, 1 Row, Right Angle PCB Terminal Block Header</t>
  </si>
  <si>
    <t>https://befr.rs-online.com/web/p/pluggable-terminal-blocks/8971262</t>
  </si>
  <si>
    <t>J3</t>
  </si>
  <si>
    <t>RS 5.08mm Horizontal PCB Terminal Block Headers</t>
  </si>
  <si>
    <t>https://befr.rs-online.com/web/p/pcb-headers/8971266</t>
  </si>
  <si>
    <t>J4, J6</t>
  </si>
  <si>
    <t>JST XH Straight, 6 pin 1 Row, 2.5 mm, male</t>
  </si>
  <si>
    <t>https://befr.rs-online.com/web/p/pcb-headers/7495228</t>
  </si>
  <si>
    <t>J5</t>
  </si>
  <si>
    <t>JST XH Straight, 4 pin 1 Row, 2.5 mm, male</t>
  </si>
  <si>
    <t>https://befr.rs-online.com/web/p/pcb-headers/1755445</t>
  </si>
  <si>
    <t>J7</t>
  </si>
  <si>
    <t>JST XH Straight, 2 pin 1 Row, 2.5 mm, male</t>
  </si>
  <si>
    <t>https://befr.rs-online.com/web/p/pcb-headers/1755499</t>
  </si>
  <si>
    <t>J8, J9</t>
  </si>
  <si>
    <t>JST XH Straight, 3 pin 1 Row, 2.5 mm, male</t>
  </si>
  <si>
    <t>https://befr.rs-online.com/web/p/pcb-headers/1755529</t>
  </si>
  <si>
    <t>Total cost :</t>
  </si>
  <si>
    <r>
      <rPr>
        <b/>
        <sz val="10"/>
        <rFont val="Arial"/>
        <family val="2"/>
      </rPr>
      <t xml:space="preserve">Cost per unit -
</t>
    </r>
    <r>
      <rPr>
        <sz val="11"/>
        <rFont val="Calibri"/>
        <family val="2"/>
      </rPr>
      <t>Currency</t>
    </r>
  </si>
  <si>
    <r>
      <rPr>
        <b/>
        <sz val="10"/>
        <rFont val="Arial"/>
        <family val="2"/>
      </rPr>
      <t xml:space="preserve">Total cost -
</t>
    </r>
    <r>
      <rPr>
        <sz val="11"/>
        <rFont val="Calibri"/>
        <family val="2"/>
      </rPr>
      <t>Currency</t>
    </r>
  </si>
  <si>
    <t>PCB</t>
  </si>
  <si>
    <t>Alternator</t>
  </si>
  <si>
    <t>JLCPCB</t>
  </si>
  <si>
    <t>https://jlcpcb.com/</t>
  </si>
  <si>
    <t>LCD_SCREEN</t>
  </si>
  <si>
    <t>UI_Screen</t>
  </si>
  <si>
    <t>NHD-0420D3Z-FL-GBW-V3</t>
  </si>
  <si>
    <t>https://www.mouser.be/ProductDetail/Newhaven-Display/NHD-0420D3Z-FL-GBW-V3?qs=qFF%252BBcFBHba4i0K1fcOqkw%3D%3D</t>
  </si>
  <si>
    <t>BUCK_MODULE</t>
  </si>
  <si>
    <t>Voltage Regulator</t>
  </si>
  <si>
    <t>EC-buying - Amazon</t>
  </si>
  <si>
    <t>https://www.amazon.com/dp/B0B38GYF74?ref_=ppx_printOD_title_dt_b_fed_asin_title_0_0</t>
  </si>
  <si>
    <t>LCD_BUCK_MODULE</t>
  </si>
  <si>
    <t>FAN_80mm</t>
  </si>
  <si>
    <t>Fan</t>
  </si>
  <si>
    <t>https://www.mouser.be/ProductDetail/Same-Sky/CFM-8025V-232-330?qs=sGAEpiMZZMvSSTL2X48Ff4Ftyd9l%2FTClTwxHw8WdfmAHX475vgXsAw%3D%3D</t>
  </si>
  <si>
    <t>TXH_240-124</t>
  </si>
  <si>
    <t>DC Power Supply</t>
  </si>
  <si>
    <t>https://www.mouser.be/ProductDetail/TRACO-Power/TXH-240-124?qs=ckJk83FOD0UI9bpkOG0QEg%3D%3D</t>
  </si>
  <si>
    <t>TRANSFO</t>
  </si>
  <si>
    <t>Transformer</t>
  </si>
  <si>
    <t>Highvoltageshop</t>
  </si>
  <si>
    <t>https://highvoltageshop.com/epages/b73088c0-9f9a-4230-9ffc-4fd5c619abc4.sf/de_DE/?ObjectPath=/Shops/b73088c0-9f9a-4230-9ffc-4fd5c619abc4/Products/TRANSHF_15KVAC</t>
  </si>
  <si>
    <t>ROT_ENCODER</t>
  </si>
  <si>
    <t>UI_Command</t>
  </si>
  <si>
    <t>https://www.mouser.be/ProductDetail/M5Stack/U135?qs=Li%252BoUPsLEnstnDfPQNf5Rw%3D%3D</t>
  </si>
  <si>
    <t>ROT_ENCODER_CBL</t>
  </si>
  <si>
    <t>Cable</t>
  </si>
  <si>
    <t>CON_POWER</t>
  </si>
  <si>
    <t>https://befr.rs-online.com/web/p/iec-connectors/8703271</t>
  </si>
  <si>
    <t>Fuse Holder</t>
  </si>
  <si>
    <t>https://befr.rs-online.com/web/p/fuse-holders/5006211?gb=s</t>
  </si>
  <si>
    <t>Fuse</t>
  </si>
  <si>
    <t>https://befr.rs-online.com/web/p/cartridge-fuses/6686007</t>
  </si>
  <si>
    <t>BAN_CON_BLK</t>
  </si>
  <si>
    <t>https://befr.rs-online.com/web/p/binding-posts/0738345</t>
  </si>
  <si>
    <t>BAN_CON_RED</t>
  </si>
  <si>
    <t>https://befr.rs-online.com/web/p/binding-posts/0738351</t>
  </si>
  <si>
    <t>JST_6PIN_MALE</t>
  </si>
  <si>
    <t>JST_6PIN_FEM</t>
  </si>
  <si>
    <t>JST XH Straight, 6 pin 1 Row, 2.5 mm, female</t>
  </si>
  <si>
    <t>JST_4PIN_FEM</t>
  </si>
  <si>
    <t>JST XH Straight, 4 pin 1 Row, 2.5 mm, female</t>
  </si>
  <si>
    <t>JST_3PIN_FEM</t>
  </si>
  <si>
    <t>JST XH Straight, 3 pin 1 Row, 2.5 mm, female</t>
  </si>
  <si>
    <t>CRIMP_JST</t>
  </si>
  <si>
    <t>Crimp</t>
  </si>
  <si>
    <t>https://befr.rs-online.com/web/p/crimp-contacts/1235947?cm_mmc=BE-PLA-DS3A-_-google-_-PLA_BE_FR_Connectors_Whoop-_-(BE:Whoop!)+Crimp+Contacts-_-1235947&amp;matchtype=&amp;aud-2390734082361:pla-296811759246&amp;gclsrc=aw.ds&amp;gad_source=1&amp;gad_campaignid=22433022650&amp;gbraid=0AAAAADkeWNPB3EDxPLyZtWm7cPu8w42VN&amp;gclid=CjwKCAiAnoXNBhAZEiwAnItcGy4MJ5lISCyCqVb-jEBrKdf4glD49bXnfTN3VUem1WEwP35kzqarmRoCwmgQAvD_BwE</t>
  </si>
  <si>
    <t>CRIMP_SPADE</t>
  </si>
  <si>
    <t>https://benl.rs-online.com/web/p/spade-connectors/1788311?cm_mmc=BE-PLA-DS3A-_-google-_-CSS_BENL_NL_Pmax_1224-_--_-1788311&amp;matchtype=&amp;&amp;gclsrc=aw.ds&amp;gad_source=1&amp;gad_campaignid=22040006570&amp;gbraid=0AAAAADkeWNM3HutVuXHNE41mVCeI6zuZ3&amp;gclid=CjwKCAiA-__MBhAKEiwASBmsBALM0jewJ9RprDYiPCvkqD7mPAZV-DfC_zVyKK4nZTJlao-PykhzVxoC9H8QAvD_BwE</t>
  </si>
  <si>
    <t>https://befr.rs-online.com/web/p/pluggable-terminal-blocks/8971219</t>
  </si>
  <si>
    <t>https://befr.rs-online.com/web/p/pluggable-terminal-blocks/7900705</t>
  </si>
  <si>
    <r>
      <rPr>
        <b/>
        <sz val="10"/>
        <color rgb="FF000000"/>
        <rFont val="Arial"/>
        <family val="2"/>
      </rPr>
      <t xml:space="preserve">Cost per unit -
</t>
    </r>
    <r>
      <rPr>
        <sz val="11"/>
        <color rgb="FF000000"/>
        <rFont val="Calibri"/>
        <family val="2"/>
      </rPr>
      <t>Currency</t>
    </r>
  </si>
  <si>
    <r>
      <rPr>
        <b/>
        <sz val="10"/>
        <color rgb="FF000000"/>
        <rFont val="Arial"/>
        <family val="2"/>
      </rPr>
      <t xml:space="preserve">Total cost -
</t>
    </r>
    <r>
      <rPr>
        <sz val="11"/>
        <color rgb="FF000000"/>
        <rFont val="Calibri"/>
        <family val="2"/>
      </rPr>
      <t>Currency</t>
    </r>
  </si>
  <si>
    <t>MakerBeam_CUBE_CORNER_10x10x10mm</t>
  </si>
  <si>
    <t>Bracket</t>
  </si>
  <si>
    <t>MakerBeam</t>
  </si>
  <si>
    <t>https://www.makerbeam.com/makerbeam-corner-cubes-12p-black-for-makerbeam.html</t>
  </si>
  <si>
    <t>BOLT_CSK_M3_4mm</t>
  </si>
  <si>
    <t>Bolt</t>
  </si>
  <si>
    <t>MakerBeam_HINGE_AXE</t>
  </si>
  <si>
    <t>Hinge</t>
  </si>
  <si>
    <t>https://www.makerbeam.com/makerbeam-hinges-for-makerbeam-8p-4p.html</t>
  </si>
  <si>
    <t>MakerBeam_HINGE_PIECE</t>
  </si>
  <si>
    <t>MakerBeam_PROFILE_10x10x40mm</t>
  </si>
  <si>
    <t>Profile</t>
  </si>
  <si>
    <t>https://www.makerbeam.com/makerbeam-40mm-8p-black-makerbeam.html</t>
  </si>
  <si>
    <t>MakerBeam_PROFILE_10x10x100mm</t>
  </si>
  <si>
    <t>https://www.makerbeam.com/makerbeam-100mm-16p-black-makerbeam.html</t>
  </si>
  <si>
    <t>MakerBeam_PROFILE_10x10x150mm</t>
  </si>
  <si>
    <t>https://www.makerbeam.com/makerbeam-150mm-6p-black-makerbeam.html</t>
  </si>
  <si>
    <t>MakerBeam_PROFILE_10x10x200mm</t>
  </si>
  <si>
    <t>https://www.makerbeam.com/makerbeam-200mm-8p-black-makerbeam.html</t>
  </si>
  <si>
    <t>MakerBeam_TNUT_10x10mm</t>
  </si>
  <si>
    <t>Nut</t>
  </si>
  <si>
    <t>https://www.makerbeam.com/makerbeam-t-slot-nuts-for-makerbeam-25p.html</t>
  </si>
  <si>
    <t>NUT_M3</t>
  </si>
  <si>
    <t>https://www.makerbeam.com/makerbeam-nuts-regular-250p.html</t>
  </si>
  <si>
    <t>NUT_M4</t>
  </si>
  <si>
    <t>https://befr.rs-online.com/web/p/hex-nuts/0527252</t>
  </si>
  <si>
    <t>BOLT_BHSCS_M3_8mm</t>
  </si>
  <si>
    <t>https://befr.rs-online.com/web/p/socket-screws/4839751</t>
  </si>
  <si>
    <t>BOLT_BHSCS_M3_6mm</t>
  </si>
  <si>
    <t>https://www.makerbeam.com/makerbeam-square-headed-bolts-6mm-250p-for-makerbe.html</t>
  </si>
  <si>
    <t>BOLT_SHCS_M4_12mm</t>
  </si>
  <si>
    <t>https://befr.rs-online.com/web/p/socket-screws/4679880</t>
  </si>
  <si>
    <t>HEATSINK</t>
  </si>
  <si>
    <t>MOSFET heatsink</t>
  </si>
  <si>
    <t>https://befr.rs-online.com/web/p/heatsinks/7124295</t>
  </si>
  <si>
    <t>STANDOFF_M3_5mm</t>
  </si>
  <si>
    <t>Standoff</t>
  </si>
  <si>
    <t>https://befr.rs-online.com/web/p/standoffs/8066607</t>
  </si>
  <si>
    <t>PLATE_HV_BACK</t>
  </si>
  <si>
    <t>Plate</t>
  </si>
  <si>
    <t>PLATE_HV_BOTTOM</t>
  </si>
  <si>
    <t>PLATE_HV_FRONT</t>
  </si>
  <si>
    <t>PLATE_HV_SIDE</t>
  </si>
  <si>
    <t>PLATE_HV_TOP</t>
  </si>
  <si>
    <t>PLATE_LV_BACK</t>
  </si>
  <si>
    <t>PLATE_LV_BOTTOM</t>
  </si>
  <si>
    <t>PLATE_LV_FRONT</t>
  </si>
  <si>
    <t>PLATE_LV_SIDE</t>
  </si>
  <si>
    <t>PLATE_LV_SIDE_CON</t>
  </si>
  <si>
    <t>PLATE_LV_TOP</t>
  </si>
  <si>
    <t>PCB_comp</t>
  </si>
  <si>
    <t>ELEC_comp</t>
  </si>
  <si>
    <t>MECHA_comp</t>
  </si>
  <si>
    <t>https://myulb131.autodesk360.com/g/projects/20250905977495381/data/dXJuOmFkc2sud2lwcHJvZDpmcy5mb2xkZXI6Y28uRnVVcHV6dlNTYUMxYWt4UDlsSl9UQQ/dXJuOmFkc2sud2lwcHJvZDpkbS5saW5lYWdlOnNIOEx3TE1ZVEZXNk5LNF9pMXhnZVE/bom?version=22&amp;compositionType=WORKING</t>
  </si>
  <si>
    <t>THERMAL_PASTE</t>
  </si>
  <si>
    <t>https://befr.rs-online.com/web/p/thermal-grease/1938248</t>
  </si>
  <si>
    <t>MOSFET thermal paste</t>
  </si>
  <si>
    <t>https://befr.rs-online.com/web/p/socket-screws/0281007</t>
  </si>
  <si>
    <t>BOLT_SHCS_M1.6_12mm</t>
  </si>
  <si>
    <t>NUT_M1.6</t>
  </si>
  <si>
    <t>https://befr.rs-online.com/web/p/hex-nuts/1795726</t>
  </si>
  <si>
    <t>BOLT_SHCS_M5_16mm</t>
  </si>
  <si>
    <t>https://benl.rs-online.com/web/p/socket-screws/4839638</t>
  </si>
  <si>
    <t>NUT_M5</t>
  </si>
  <si>
    <t>https://benl.rs-online.com/web/p/hex-nuts/2874065</t>
  </si>
  <si>
    <t>CRIMP_RING</t>
  </si>
  <si>
    <t>https://benl.rs-online.com/web/p/ring-terminals/6139508?cm_mmc=BE-PLA-DS3A-_-google-_-CSS_BENL_NL_Pmax_1224-_--_-6139508&amp;matchtype=&amp;&amp;gclsrc=aw.ds&amp;gad_source=1&amp;gad_campaignid=22040006570&amp;gbraid=0AAAAADkeWNPS-olzDQzC4HkF4E534-54H&amp;gclid=CjwKCAjw1N7NBhAoEiwAcPchp0tf9uMHgtlf_RIc3YQ2RldFR3dB_alOQKdyRagrgrIlKW1t4rsKAhoC5BEQAvD_BwE</t>
  </si>
  <si>
    <t>WAGO_4W</t>
  </si>
  <si>
    <t>PMMA</t>
  </si>
  <si>
    <t>https://www.brico.be/fr/menuiserie/planches-plastique-verre-synthetique/verres-synthetiques/scala-plastics-plaque-de-plexi-acrylique-pmma-cristal-100x50cm-x-3mm/2893619</t>
  </si>
  <si>
    <t>Brico</t>
  </si>
  <si>
    <t>BOLT_SHCS_M3_16mm</t>
  </si>
  <si>
    <t>https://befr.rs-online.com/web/p/pluggable-terminal-blocks/1468337</t>
  </si>
  <si>
    <t>TERM_BLOCK_3POS_M</t>
  </si>
  <si>
    <t>TERM_BLOCK_2POS_F</t>
  </si>
  <si>
    <t>TERM_BLOCK_3POS_F</t>
  </si>
  <si>
    <t>MakerBeam_HINGE_LOCKNUT</t>
  </si>
  <si>
    <t>BOLT_BHSCS_M3_4mm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</si>
</sst>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* #,##0\ &quot;€&quot;_-;\-* #,##0\ &quot;€&quot;_-;_-* &quot;-&quot;\ &quot;€&quot;_-;_-@_-"/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</numFmts>
  <fonts count="24" x14ac:knownFonts="1">
    <font>
      <sz val="11"/>
      <color theme="1"/>
      <name val="Calibri"/>
      <family val="2"/>
      <scheme val="minor"/>
    </font>
    <font>
      <u/>
      <sz val="11"/>
      <color rgb="FF0563C1"/>
      <name val="Calibri"/>
      <family val="2"/>
    </font>
    <font>
      <sz val="11"/>
      <color rgb="FF000000"/>
      <name val="Calibri"/>
      <family val="2"/>
    </font>
    <font>
      <i/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name val="Calibri"/>
      <family val="2"/>
    </font>
    <font>
      <i/>
      <sz val="8"/>
      <color rgb="FF000000"/>
      <name val="Arial"/>
      <family val="2"/>
    </font>
    <font>
      <i/>
      <sz val="11"/>
      <name val="Calibri"/>
      <family val="2"/>
    </font>
    <font>
      <i/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2">
    <xf numFmtId="0" fontId="0" fillId="0" borderId="0"/>
    <xf numFmtId="0" fontId="20" fillId="26" borderId="0" applyNumberFormat="0" applyBorder="0" applyAlignment="0" applyProtection="0"/>
    <xf numFmtId="0" fontId="10" fillId="25" borderId="0" applyNumberFormat="0" applyBorder="0" applyAlignment="0" applyProtection="0"/>
    <xf numFmtId="0" fontId="10" fillId="24" borderId="0" applyNumberFormat="0" applyBorder="0" applyAlignment="0" applyProtection="0"/>
    <xf numFmtId="0" fontId="20" fillId="23" borderId="0" applyNumberFormat="0" applyBorder="0" applyAlignment="0" applyProtection="0"/>
    <xf numFmtId="0" fontId="19" fillId="0" borderId="0" applyNumberFormat="0" applyFill="0" applyBorder="0" applyAlignment="0" applyProtection="0"/>
    <xf numFmtId="0" fontId="10" fillId="22" borderId="28" applyNumberFormat="0" applyFont="0" applyAlignment="0" applyProtection="0"/>
    <xf numFmtId="0" fontId="18" fillId="0" borderId="0" applyNumberFormat="0" applyFill="0" applyBorder="0" applyAlignment="0" applyProtection="0"/>
    <xf numFmtId="0" fontId="17" fillId="0" borderId="27" applyNumberFormat="0" applyFill="0" applyAlignment="0" applyProtection="0"/>
    <xf numFmtId="0" fontId="16" fillId="21" borderId="0" applyNumberFormat="0" applyBorder="0" applyAlignment="0" applyProtection="0"/>
    <xf numFmtId="0" fontId="15" fillId="20" borderId="0" applyNumberFormat="0" applyBorder="0" applyAlignment="0" applyProtection="0"/>
    <xf numFmtId="0" fontId="14" fillId="19" borderId="0" applyNumberFormat="0" applyBorder="0" applyAlignment="0" applyProtection="0"/>
    <xf numFmtId="0" fontId="13" fillId="0" borderId="26" applyNumberFormat="0" applyFill="0" applyAlignment="0" applyProtection="0"/>
    <xf numFmtId="0" fontId="12" fillId="0" borderId="25" applyNumberFormat="0" applyFill="0" applyAlignment="0" applyProtection="0"/>
    <xf numFmtId="0" fontId="11" fillId="0" borderId="0" applyNumberFormat="0" applyFill="0" applyBorder="0" applyAlignment="0" applyProtection="0"/>
    <xf numFmtId="9" fontId="10" fillId="0" borderId="0" applyFont="0" applyFill="0" applyBorder="0" applyAlignment="0" applyProtection="0"/>
    <xf numFmtId="42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" fillId="16" borderId="20" xfId="0" applyNumberFormat="1" applyFill="1" applyBorder="1">
      <alignment horizontal="center" vertical="center" wrapText="1"/>
    </xf>
    <xf numFmtId="0" fontId="21" fillId="0" borderId="0" applyNumberFormat="0" applyFill="0" applyBorder="0" applyAlignment="0" applyProtection="0"/>
    <xf numFmtId="44" fontId="3" fillId="10" borderId="12" xfId="17" applyFont="1" applyFill="1" applyBorder="1" applyAlignment="1">
      <alignment horizontal="center" vertical="center" wrapText="1"/>
    </xf>
    <xf numFmtId="44" fontId="3" fillId="11" borderId="13" xfId="17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right" vertical="center" wrapText="1"/>
    </xf>
    <xf numFmtId="0" fontId="2" fillId="0" borderId="8" xfId="9" applyFont="1" applyFill="1" applyBorder="1" applyAlignment="1">
      <alignment horizontal="right" vertical="center" wrapText="1"/>
    </xf>
    <xf numFmtId="44" fontId="3" fillId="15" borderId="18" xfId="17" applyFont="1" applyFill="1" applyBorder="1" applyAlignment="1">
      <alignment horizontal="center" vertical="center" wrapText="1"/>
    </xf>
    <xf numFmtId="44" fontId="3" fillId="18" borderId="24" xfId="17" applyFont="1" applyFill="1" applyBorder="1" applyAlignment="1">
      <alignment horizontal="center" vertical="center" wrapText="1"/>
    </xf>
    <xf numFmtId="44" fontId="2" fillId="0" borderId="41" xfId="17" applyFont="1" applyBorder="1" applyAlignment="1">
      <alignment horizontal="center" vertical="center"/>
    </xf>
    <xf numFmtId="0" fontId="23" fillId="9" borderId="29" xfId="15" applyNumberFormat="1" applyFont="1" applyFill="1" applyBorder="1" applyAlignment="1">
      <alignment horizontal="center" vertical="center" wrapText="1"/>
    </xf>
    <xf numFmtId="0" fontId="23" fillId="7" borderId="29" xfId="13" applyFont="1" applyFill="1" applyBorder="1" applyAlignment="1">
      <alignment horizontal="center" vertical="center" wrapText="1"/>
    </xf>
    <xf numFmtId="0" fontId="22" fillId="0" borderId="0" applyNumberFormat="0" applyFill="0" applyBorder="0" applyAlignment="0" applyProtection="0"/>
  </cellStyleXfs>
  <cellXfs count="99">
    <xf numFmtId="0" fontId="0" fillId="0" borderId="0" xfId="0"/>
    <xf numFmtId="0" fontId="3" fillId="15" borderId="29" xfId="25">
      <alignment horizontal="center" vertical="center" wrapText="1"/>
    </xf>
    <xf numFmtId="0" fontId="4" fillId="17" borderId="29" xfId="28" applyNumberFormat="1" applyFont="1" applyFill="1" applyBorder="1">
      <alignment horizontal="center" vertical="center" wrapText="1"/>
    </xf>
    <xf numFmtId="0" fontId="3" fillId="12" borderId="29" xfId="19" applyNumberFormat="1" applyFont="1" applyFill="1" applyBorder="1" applyAlignment="1">
      <alignment horizontal="center" vertical="center" wrapText="1"/>
    </xf>
    <xf numFmtId="0" fontId="3" fillId="0" borderId="29" xfId="11" applyFont="1" applyFill="1" applyBorder="1" applyAlignment="1">
      <alignment horizontal="left" vertical="center" wrapText="1"/>
    </xf>
    <xf numFmtId="0" fontId="3" fillId="6" borderId="29" xfId="8" applyFont="1" applyFill="1" applyBorder="1" applyAlignment="1">
      <alignment horizontal="left" vertical="center" wrapText="1"/>
    </xf>
    <xf numFmtId="0" fontId="4" fillId="9" borderId="11" xfId="15" applyNumberFormat="1" applyFont="1" applyFill="1" applyBorder="1" applyAlignment="1">
      <alignment horizontal="center" vertical="center" wrapText="1"/>
    </xf>
    <xf numFmtId="0" fontId="3" fillId="15" borderId="18" xfId="25" applyBorder="1">
      <alignment horizontal="center" vertical="center" wrapText="1"/>
    </xf>
    <xf numFmtId="0" fontId="3" fillId="6" borderId="7" xfId="8" applyFont="1" applyFill="1" applyBorder="1" applyAlignment="1">
      <alignment horizontal="left" vertical="center" wrapText="1"/>
    </xf>
    <xf numFmtId="0" fontId="1" fillId="8" borderId="10" xfId="14" applyFont="1" applyFill="1" applyBorder="1" applyAlignment="1">
      <alignment horizontal="left" vertical="top" wrapText="1"/>
    </xf>
    <xf numFmtId="0" fontId="3" fillId="18" borderId="24" xfId="30" applyNumberFormat="1" applyFill="1" applyBorder="1">
      <alignment horizontal="center" vertical="center" wrapText="1"/>
    </xf>
    <xf numFmtId="0" fontId="3" fillId="14" borderId="15" xfId="22" applyFont="1" applyFill="1" applyBorder="1" applyAlignment="1">
      <alignment horizontal="left" vertical="center" wrapText="1"/>
    </xf>
    <xf numFmtId="0" fontId="1" fillId="2" borderId="1" xfId="1" applyFont="1" applyFill="1" applyBorder="1" applyAlignment="1">
      <alignment horizontal="left" vertical="top" wrapText="1"/>
    </xf>
    <xf numFmtId="0" fontId="2" fillId="0" borderId="4" xfId="2" applyFont="1" applyFill="1" applyBorder="1" applyAlignment="1">
      <alignment horizontal="right" vertical="center"/>
    </xf>
    <xf numFmtId="0" fontId="6" fillId="0" borderId="0" xfId="21" applyFont="1" applyFill="1" applyBorder="1" applyAlignment="1">
      <alignment horizontal="center" vertical="center" wrapText="1"/>
    </xf>
    <xf numFmtId="0" fontId="4" fillId="7" borderId="9" xfId="13" applyFont="1" applyFill="1" applyBorder="1" applyAlignment="1">
      <alignment horizontal="center" vertical="center" wrapText="1"/>
    </xf>
    <xf numFmtId="0" fontId="9" fillId="0" borderId="23" xfId="29" applyNumberFormat="1" applyFont="1" applyFill="1" applyBorder="1">
      <alignment horizontal="center" vertical="center" wrapText="1"/>
    </xf>
    <xf numFmtId="0" fontId="4" fillId="17" borderId="21" xfId="28" applyNumberFormat="1" applyFont="1" applyFill="1" applyBorder="1">
      <alignment horizontal="center" vertical="center" wrapText="1"/>
    </xf>
    <xf numFmtId="0" fontId="3" fillId="12" borderId="14" xfId="19" applyNumberFormat="1" applyFont="1" applyFill="1" applyBorder="1" applyAlignment="1">
      <alignment horizontal="center" vertical="center" wrapText="1"/>
    </xf>
    <xf numFmtId="0" fontId="8" fillId="0" borderId="19" xfId="26" applyFont="1" applyFill="1" applyBorder="1">
      <alignment horizontal="center" vertical="center" wrapText="1"/>
    </xf>
    <xf numFmtId="0" fontId="3" fillId="16" borderId="20" xfId="27" applyNumberFormat="1" applyFill="1" applyBorder="1">
      <alignment horizontal="center" vertical="center" wrapText="1"/>
    </xf>
    <xf numFmtId="0" fontId="3" fillId="4" borderId="5" xfId="5" applyFont="1" applyFill="1" applyBorder="1" applyAlignment="1">
      <alignment horizontal="center" vertical="center" wrapText="1"/>
    </xf>
    <xf numFmtId="0" fontId="3" fillId="10" borderId="12" xfId="16" applyNumberFormat="1" applyFont="1" applyFill="1" applyBorder="1" applyAlignment="1">
      <alignment horizontal="center" vertical="center" wrapText="1"/>
    </xf>
    <xf numFmtId="0" fontId="3" fillId="11" borderId="13" xfId="18" applyNumberFormat="1" applyFont="1" applyFill="1" applyBorder="1" applyAlignment="1">
      <alignment horizontal="center" vertical="center" wrapText="1"/>
    </xf>
    <xf numFmtId="0" fontId="2" fillId="0" borderId="16" xfId="24" applyFont="1" applyBorder="1" applyAlignment="1">
      <alignment horizontal="right" vertical="center" wrapText="1"/>
    </xf>
    <xf numFmtId="0" fontId="2" fillId="0" borderId="8" xfId="9" applyFont="1" applyFill="1" applyBorder="1" applyAlignment="1">
      <alignment horizontal="right" vertical="center" wrapText="1"/>
    </xf>
    <xf numFmtId="44" fontId="3" fillId="15" borderId="18" xfId="17" applyFont="1" applyFill="1" applyBorder="1" applyAlignment="1">
      <alignment horizontal="center" vertical="center" wrapText="1"/>
    </xf>
    <xf numFmtId="44" fontId="3" fillId="18" borderId="24" xfId="17" applyFont="1" applyFill="1" applyBorder="1" applyAlignment="1">
      <alignment horizontal="center" vertical="center" wrapText="1"/>
    </xf>
    <xf numFmtId="44" fontId="2" fillId="0" borderId="3" xfId="17" applyFont="1" applyBorder="1" applyAlignment="1">
      <alignment horizontal="center" vertical="center"/>
    </xf>
    <xf numFmtId="0" fontId="4" fillId="9" borderId="29" xfId="15" applyNumberFormat="1" applyFont="1" applyFill="1" applyBorder="1" applyAlignment="1">
      <alignment horizontal="center" vertical="center" wrapText="1"/>
    </xf>
    <xf numFmtId="0" fontId="4" fillId="7" borderId="29" xfId="13" applyFont="1" applyFill="1" applyBorder="1" applyAlignment="1">
      <alignment horizontal="center" vertical="center" wrapText="1"/>
    </xf>
    <xf numFmtId="0" fontId="4" fillId="3" borderId="29" xfId="4" applyFont="1" applyFill="1" applyBorder="1" applyAlignment="1">
      <alignment horizontal="center" vertical="center" wrapText="1"/>
    </xf>
    <xf numFmtId="0" fontId="3" fillId="18" borderId="29" xfId="30" applyNumberFormat="1" applyFill="1" applyBorder="1">
      <alignment horizontal="center" vertical="center" wrapText="1"/>
    </xf>
    <xf numFmtId="0" fontId="3" fillId="16" borderId="29" xfId="27" applyNumberFormat="1" applyFill="1" applyBorder="1">
      <alignment horizontal="center" vertical="center" wrapText="1"/>
    </xf>
    <xf numFmtId="0" fontId="1" fillId="13" borderId="29" xfId="20" applyFont="1" applyFill="1" applyBorder="1" applyAlignment="1">
      <alignment horizontal="left" vertical="center" wrapText="1"/>
    </xf>
    <xf numFmtId="0" fontId="1" fillId="0" borderId="29" xfId="10" applyFont="1" applyFill="1" applyBorder="1" applyAlignment="1">
      <alignment horizontal="left" vertical="center" wrapText="1"/>
    </xf>
    <xf numFmtId="0" fontId="3" fillId="4" borderId="29" xfId="5" applyFont="1" applyFill="1" applyBorder="1" applyAlignment="1">
      <alignment horizontal="center" vertical="center" wrapText="1"/>
    </xf>
    <xf numFmtId="0" fontId="1" fillId="8" borderId="29" xfId="14" applyFont="1" applyFill="1" applyBorder="1" applyAlignment="1">
      <alignment horizontal="left" vertical="center" wrapText="1"/>
    </xf>
    <xf numFmtId="44" fontId="2" fillId="0" borderId="2" xfId="17" applyFont="1" applyBorder="1" applyAlignment="1">
      <alignment horizontal="left" vertical="center"/>
    </xf>
    <xf numFmtId="44" fontId="2" fillId="0" borderId="17" xfId="17" applyFont="1" applyBorder="1" applyAlignment="1">
      <alignment horizontal="left" vertical="center"/>
    </xf>
    <xf numFmtId="0" fontId="3" fillId="12" borderId="16" xfId="19" applyNumberFormat="1" applyFont="1" applyFill="1" applyBorder="1" applyAlignment="1">
      <alignment horizontal="center" vertical="center" wrapText="1"/>
    </xf>
    <xf numFmtId="0" fontId="3" fillId="16" borderId="21" xfId="27" applyNumberFormat="1" applyFill="1" applyBorder="1">
      <alignment horizontal="center" vertical="center" wrapText="1"/>
    </xf>
    <xf numFmtId="0" fontId="3" fillId="18" borderId="16" xfId="30" applyNumberFormat="1" applyFill="1" applyBorder="1">
      <alignment horizontal="center" vertical="center" wrapText="1"/>
    </xf>
    <xf numFmtId="0" fontId="1" fillId="5" borderId="6" xfId="6" applyFont="1" applyFill="1" applyBorder="1" applyAlignment="1">
      <alignment horizontal="left" vertical="center" wrapText="1"/>
    </xf>
    <xf numFmtId="0" fontId="8" fillId="0" borderId="24" xfId="26" applyFont="1" applyFill="1" applyBorder="1">
      <alignment horizontal="center" vertical="center" wrapText="1"/>
    </xf>
    <xf numFmtId="0" fontId="3" fillId="0" borderId="29" xfId="3" applyFont="1" applyFill="1" applyBorder="1" applyAlignment="1">
      <alignment horizontal="left" vertical="center" wrapText="1"/>
    </xf>
    <xf numFmtId="0" fontId="3" fillId="0" borderId="29" xfId="12" applyFont="1" applyFill="1" applyBorder="1" applyAlignment="1">
      <alignment horizontal="center" vertical="center" wrapText="1"/>
    </xf>
    <xf numFmtId="0" fontId="3" fillId="0" borderId="29" xfId="7" applyFont="1" applyFill="1" applyBorder="1" applyAlignment="1">
      <alignment horizontal="center" vertical="center" wrapText="1"/>
    </xf>
    <xf numFmtId="0" fontId="7" fillId="0" borderId="29" xfId="23" applyFont="1" applyBorder="1" applyAlignment="1">
      <alignment horizontal="center" vertical="center"/>
    </xf>
    <xf numFmtId="0" fontId="8" fillId="0" borderId="29" xfId="26" applyFont="1" applyFill="1">
      <alignment horizontal="center" vertical="center" wrapText="1"/>
    </xf>
    <xf numFmtId="44" fontId="3" fillId="15" borderId="38" xfId="17" applyFont="1" applyFill="1" applyBorder="1" applyAlignment="1">
      <alignment horizontal="center" vertical="center" wrapText="1"/>
    </xf>
    <xf numFmtId="44" fontId="3" fillId="15" borderId="39" xfId="17" applyFont="1" applyFill="1" applyBorder="1" applyAlignment="1">
      <alignment horizontal="center" vertical="center" wrapText="1"/>
    </xf>
    <xf numFmtId="44" fontId="3" fillId="15" borderId="40" xfId="17" applyFont="1" applyFill="1" applyBorder="1" applyAlignment="1">
      <alignment horizontal="center" vertical="center" wrapText="1"/>
    </xf>
    <xf numFmtId="0" fontId="1" fillId="5" borderId="22" xfId="6" applyFont="1" applyFill="1" applyBorder="1" applyAlignment="1">
      <alignment horizontal="left" vertical="center" wrapText="1"/>
    </xf>
    <xf numFmtId="0" fontId="8" fillId="0" borderId="31" xfId="26" applyFont="1" applyFill="1" applyBorder="1">
      <alignment horizontal="center" vertical="center" wrapText="1"/>
    </xf>
    <xf numFmtId="0" fontId="3" fillId="18" borderId="18" xfId="30" applyNumberFormat="1" applyFill="1" applyBorder="1">
      <alignment horizontal="center" vertical="center" wrapText="1"/>
    </xf>
    <xf numFmtId="0" fontId="8" fillId="0" borderId="18" xfId="26" applyFont="1" applyFill="1" applyBorder="1">
      <alignment horizontal="center" vertical="center" wrapText="1"/>
    </xf>
    <xf numFmtId="0" fontId="8" fillId="0" borderId="31" xfId="26" applyNumberFormat="1" applyFont="1" applyFill="1" applyBorder="1">
      <alignment horizontal="center" vertical="center" wrapText="1"/>
    </xf>
    <xf numFmtId="0" fontId="3" fillId="16" borderId="33" xfId="27" applyNumberFormat="1" applyFill="1" applyBorder="1">
      <alignment horizontal="center" vertical="center" wrapText="1"/>
    </xf>
    <xf numFmtId="44" fontId="3" fillId="11" borderId="22" xfId="17" applyFont="1" applyFill="1" applyBorder="1" applyAlignment="1">
      <alignment horizontal="center" vertical="center" wrapText="1"/>
    </xf>
    <xf numFmtId="44" fontId="3" fillId="10" borderId="42" xfId="17" applyFont="1" applyFill="1" applyBorder="1" applyAlignment="1">
      <alignment horizontal="center" vertical="center" wrapText="1"/>
    </xf>
    <xf numFmtId="0" fontId="1" fillId="5" borderId="18" xfId="6" applyFont="1" applyFill="1" applyBorder="1" applyAlignment="1">
      <alignment horizontal="left" vertical="center" wrapText="1"/>
    </xf>
    <xf numFmtId="0" fontId="1" fillId="5" borderId="31" xfId="6" applyFont="1" applyFill="1" applyBorder="1" applyAlignment="1">
      <alignment horizontal="left" vertical="center" wrapText="1"/>
    </xf>
    <xf numFmtId="0" fontId="3" fillId="18" borderId="33" xfId="30" applyFont="1" applyFill="1" applyBorder="1">
      <alignment horizontal="center" vertical="center" wrapText="1"/>
    </xf>
    <xf numFmtId="0" fontId="3" fillId="18" borderId="35" xfId="30" applyFont="1" applyFill="1" applyBorder="1">
      <alignment horizontal="center" vertical="center" wrapText="1"/>
    </xf>
    <xf numFmtId="0" fontId="3" fillId="18" borderId="34" xfId="30" applyFont="1" applyFill="1" applyBorder="1">
      <alignment horizontal="center" vertical="center" wrapText="1"/>
    </xf>
    <xf numFmtId="0" fontId="3" fillId="15" borderId="33" xfId="25" applyFont="1" applyFill="1" applyBorder="1" applyAlignment="1">
      <alignment horizontal="center" vertical="center" wrapText="1"/>
    </xf>
    <xf numFmtId="0" fontId="3" fillId="15" borderId="35" xfId="25" applyFont="1" applyFill="1" applyBorder="1" applyAlignment="1">
      <alignment horizontal="center" vertical="center" wrapText="1"/>
    </xf>
    <xf numFmtId="0" fontId="3" fillId="15" borderId="34" xfId="25" applyFont="1" applyFill="1" applyBorder="1" applyAlignment="1">
      <alignment horizontal="center" vertical="center" wrapText="1"/>
    </xf>
    <xf numFmtId="0" fontId="22" fillId="0" borderId="33" xfId="31" applyFill="1" applyBorder="1" applyAlignment="1">
      <alignment horizontal="left" vertical="center" wrapText="1"/>
    </xf>
    <xf numFmtId="0" fontId="1" fillId="0" borderId="35" xfId="10" applyFont="1" applyFill="1" applyBorder="1" applyAlignment="1">
      <alignment horizontal="left" vertical="center" wrapText="1"/>
    </xf>
    <xf numFmtId="0" fontId="3" fillId="11" borderId="13" xfId="18" applyNumberFormat="1" applyFont="1" applyFill="1" applyBorder="1" applyAlignment="1">
      <alignment horizontal="center" vertical="center" wrapText="1"/>
    </xf>
    <xf numFmtId="44" fontId="3" fillId="15" borderId="32" xfId="17" applyFont="1" applyFill="1" applyBorder="1" applyAlignment="1">
      <alignment horizontal="center" vertical="center" wrapText="1"/>
    </xf>
    <xf numFmtId="44" fontId="3" fillId="15" borderId="37" xfId="17" applyFont="1" applyFill="1" applyBorder="1" applyAlignment="1">
      <alignment horizontal="center" vertical="center" wrapText="1"/>
    </xf>
    <xf numFmtId="44" fontId="3" fillId="15" borderId="30" xfId="17" applyFont="1" applyFill="1" applyBorder="1" applyAlignment="1">
      <alignment horizontal="center" vertical="center" wrapText="1"/>
    </xf>
    <xf numFmtId="44" fontId="3" fillId="15" borderId="36" xfId="17" applyFont="1" applyFill="1" applyBorder="1" applyAlignment="1">
      <alignment horizontal="center" vertical="center" wrapText="1"/>
    </xf>
    <xf numFmtId="0" fontId="4" fillId="9" borderId="29" xfId="15" applyNumberFormat="1" applyFont="1" applyFill="1" applyBorder="1" applyAlignment="1">
      <alignment horizontal="center" vertical="center" wrapText="1"/>
    </xf>
    <xf numFmtId="0" fontId="4" fillId="7" borderId="29" xfId="13" applyFont="1" applyFill="1" applyBorder="1" applyAlignment="1">
      <alignment horizontal="center" vertical="center" wrapText="1"/>
    </xf>
    <xf numFmtId="44" fontId="2" fillId="0" borderId="3" xfId="17" applyFont="1" applyBorder="1" applyAlignment="1">
      <alignment horizontal="center" vertical="center"/>
    </xf>
    <xf numFmtId="0" fontId="2" fillId="0" borderId="16" xfId="24" applyFont="1" applyBorder="1" applyAlignment="1">
      <alignment horizontal="right" vertical="center" wrapText="1"/>
    </xf>
    <xf numFmtId="0" fontId="3" fillId="15" borderId="29" xfId="25" applyFont="1" applyFill="1" applyBorder="1" applyAlignment="1">
      <alignment horizontal="center" vertical="center" wrapText="1"/>
    </xf>
    <xf numFmtId="0" fontId="3" fillId="15" borderId="29" xfId="25" applyFont="1" applyFill="1" applyBorder="1" applyAlignment="1">
      <alignment horizontal="center" vertical="center" wrapText="1"/>
    </xf>
    <xf numFmtId="0" fontId="3" fillId="16" borderId="29" xfId="27" applyNumberFormat="1" applyFill="1" applyBorder="1" applyAlignment="1">
      <alignment horizontal="center" vertical="center" wrapText="1"/>
    </xf>
    <xf numFmtId="0" fontId="8" fillId="0" borderId="33" xfId="26" applyNumberFormat="1" applyFont="1" applyFill="1" applyBorder="1" applyAlignment="1">
      <alignment horizontal="center" vertical="center" wrapText="1"/>
    </xf>
    <xf numFmtId="0" fontId="4" fillId="9" borderId="33" xfId="15" applyNumberFormat="1" applyFont="1" applyFill="1" applyBorder="1" applyAlignment="1">
      <alignment horizontal="center" vertical="center" wrapText="1"/>
    </xf>
    <xf numFmtId="44" fontId="3" fillId="18" borderId="18" xfId="17" applyFont="1" applyFill="1" applyBorder="1" applyAlignment="1">
      <alignment horizontal="center" vertical="center" wrapText="1"/>
    </xf>
    <xf numFmtId="0" fontId="3" fillId="11" borderId="21" xfId="18" applyNumberFormat="1" applyFont="1" applyFill="1" applyBorder="1" applyAlignment="1">
      <alignment horizontal="center" vertical="center" wrapText="1"/>
    </xf>
    <xf numFmtId="0" fontId="8" fillId="0" borderId="34" xfId="26" applyNumberFormat="1" applyFont="1" applyFill="1" applyBorder="1" applyAlignment="1">
      <alignment horizontal="center" vertical="center" wrapText="1"/>
    </xf>
    <xf numFmtId="44" fontId="3" fillId="15" borderId="5" xfId="17" applyFont="1" applyFill="1" applyBorder="1" applyAlignment="1">
      <alignment horizontal="center" vertical="center" wrapText="1"/>
    </xf>
    <xf numFmtId="0" fontId="3" fillId="18" borderId="34" xfId="30" applyNumberFormat="1" applyFont="1" applyFill="1" applyBorder="1" applyAlignment="1">
      <alignment horizontal="center" vertical="center" wrapText="1"/>
    </xf>
    <xf numFmtId="0" fontId="1" fillId="0" borderId="34" xfId="10" applyFont="1" applyFill="1" applyBorder="1" applyAlignment="1">
      <alignment horizontal="left" vertical="center" wrapText="1"/>
    </xf>
    <xf numFmtId="0" fontId="3" fillId="10" borderId="29" xfId="16" applyNumberFormat="1" applyFont="1" applyFill="1" applyBorder="1" applyAlignment="1">
      <alignment horizontal="center" vertical="center" wrapText="1"/>
    </xf>
    <xf numFmtId="44" fontId="3" fillId="15" borderId="29" xfId="17" applyFont="1" applyFill="1" applyBorder="1" applyAlignment="1">
      <alignment horizontal="center" vertical="center" wrapText="1"/>
    </xf>
    <xf numFmtId="0" fontId="2" fillId="0" borderId="29" xfId="24" applyFont="1" applyBorder="1" applyAlignment="1">
      <alignment horizontal="right" vertical="center" wrapText="1"/>
    </xf>
    <xf numFmtId="0" fontId="3" fillId="16" borderId="29" xfId="27" applyNumberFormat="1" applyFill="1" applyBorder="1" applyAlignment="1">
      <alignment horizontal="center" vertical="center" wrapText="1"/>
    </xf>
    <xf numFmtId="44" fontId="3" fillId="18" borderId="29" xfId="17" applyFont="1" applyFill="1" applyBorder="1" applyAlignment="1">
      <alignment horizontal="center" vertical="center" wrapText="1"/>
    </xf>
    <xf numFmtId="0" fontId="3" fillId="11" borderId="29" xfId="18" applyNumberFormat="1" applyFont="1" applyFill="1" applyBorder="1" applyAlignment="1">
      <alignment horizontal="center" vertical="center" wrapText="1"/>
    </xf>
    <xf numFmtId="0" fontId="8" fillId="0" borderId="29" xfId="26" applyNumberFormat="1" applyFont="1" applyFill="1" applyBorder="1" applyAlignment="1">
      <alignment horizontal="center" vertical="center" wrapText="1"/>
    </xf>
    <xf numFmtId="0" fontId="3" fillId="18" borderId="29" xfId="30" applyNumberFormat="1" applyFont="1" applyFill="1" applyBorder="1" applyAlignment="1">
      <alignment horizontal="center" vertical="center" wrapText="1"/>
    </xf>
  </cellXfs>
  <cellStyles count="22">
    <cellStyle name="20 % - Accent1" xfId="3" builtinId="30"/>
    <cellStyle name="40 % - Accent1" xfId="2" builtinId="31"/>
    <cellStyle name="Accent1" xfId="4" builtinId="29"/>
    <cellStyle name="Accent3" xfId="1" builtinId="37"/>
    <cellStyle name="Avertissement" xfId="7" builtinId="11"/>
    <cellStyle name="Cellule liée" xfId="8" builtinId="24"/>
    <cellStyle name="Insatisfaisant" xfId="10" builtinId="27"/>
    <cellStyle name="Lien hypertexte" xfId="31" builtinId="8"/>
    <cellStyle name="Lien hypertexte visité" xfId="21" builtinId="9"/>
    <cellStyle name="Milliers" xfId="19" builtinId="3"/>
    <cellStyle name="Milliers [0]" xfId="18" builtinId="6"/>
    <cellStyle name="Monétaire" xfId="17" builtinId="4"/>
    <cellStyle name="Monétaire [0]" xfId="16" builtinId="7"/>
    <cellStyle name="Neutre" xfId="9" builtinId="28"/>
    <cellStyle name="Normal" xfId="0" builtinId="0"/>
    <cellStyle name="Note" xfId="6" builtinId="10"/>
    <cellStyle name="Pourcentage" xfId="15" builtinId="5"/>
    <cellStyle name="Satisfaisant" xfId="11" builtinId="26"/>
    <cellStyle name="Texte explicatif" xfId="5" builtinId="53"/>
    <cellStyle name="Titre" xfId="14" builtinId="15"/>
    <cellStyle name="Titre 2" xfId="13" builtinId="17"/>
    <cellStyle name="Titre 3" xfId="12" builtinId="1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m/dp/B0B38GYF74?ref_=ppx_printOD_title_dt_b_fed_asin_title_0_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rico.be/fr/menuiserie/planches-plastique-verre-synthetique/verres-synthetiques/scala-plastics-plaque-de-plexi-acrylique-pmma-cristal-100x50cm-x-3mm/2893619" TargetMode="External"/><Relationship Id="rId2" Type="http://schemas.openxmlformats.org/officeDocument/2006/relationships/hyperlink" Target="https://www.makerbeam.com/makerbeam-corner-cubes-12p-black-for-makerbeam.html" TargetMode="External"/><Relationship Id="rId1" Type="http://schemas.openxmlformats.org/officeDocument/2006/relationships/hyperlink" Target="https://www.makerbeam.com/makerbeam-hinges-for-makerbeam-8p-4p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32"/>
  <sheetViews>
    <sheetView workbookViewId="0">
      <selection activeCell="E32" sqref="E32"/>
    </sheetView>
  </sheetViews>
  <sheetFormatPr baseColWidth="10" defaultColWidth="5.5703125" defaultRowHeight="14.25" customHeight="1" x14ac:dyDescent="0.25"/>
  <cols>
    <col min="1" max="1" width="5.5703125" customWidth="1"/>
    <col min="2" max="2" width="10.5703125" customWidth="1"/>
    <col min="3" max="3" width="10" customWidth="1"/>
    <col min="4" max="4" width="10.42578125" customWidth="1"/>
    <col min="5" max="5" width="56.85546875" customWidth="1"/>
    <col min="6" max="6" width="7.85546875" customWidth="1"/>
    <col min="7" max="7" width="13.5703125" customWidth="1"/>
    <col min="8" max="8" width="10.85546875" customWidth="1"/>
    <col min="9" max="9" width="9.140625" customWidth="1"/>
    <col min="10" max="10" width="56" customWidth="1"/>
    <col min="11" max="11" width="12.140625" customWidth="1"/>
    <col min="12" max="12" width="5.5703125" customWidth="1"/>
  </cols>
  <sheetData>
    <row r="2" spans="2:11" ht="26.25" customHeight="1" x14ac:dyDescent="0.25">
      <c r="B2" s="6" t="s">
        <v>0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9</v>
      </c>
    </row>
    <row r="3" spans="2:11" ht="14.25" customHeight="1" x14ac:dyDescent="0.25">
      <c r="B3" s="7" t="s">
        <v>10</v>
      </c>
      <c r="C3" s="7" t="s">
        <v>11</v>
      </c>
      <c r="D3" s="7" t="s">
        <v>12</v>
      </c>
      <c r="E3" s="8" t="s">
        <v>13</v>
      </c>
      <c r="F3" s="7">
        <v>1</v>
      </c>
      <c r="G3" s="26">
        <v>5.24</v>
      </c>
      <c r="H3" s="26">
        <f>F3*G3</f>
        <v>5.24</v>
      </c>
      <c r="I3" s="7" t="s">
        <v>14</v>
      </c>
      <c r="J3" s="9">
        <v>7</v>
      </c>
      <c r="K3" s="7"/>
    </row>
    <row r="4" spans="2:11" ht="14.25" customHeight="1" x14ac:dyDescent="0.25">
      <c r="B4" s="7" t="s">
        <v>15</v>
      </c>
      <c r="C4" s="7" t="s">
        <v>16</v>
      </c>
      <c r="D4" s="7" t="s">
        <v>12</v>
      </c>
      <c r="E4" s="8" t="s">
        <v>17</v>
      </c>
      <c r="F4" s="7">
        <v>2</v>
      </c>
      <c r="G4" s="26">
        <v>3.34</v>
      </c>
      <c r="H4" s="26">
        <f t="shared" ref="H4:H24" si="0">F4*G4</f>
        <v>6.68</v>
      </c>
      <c r="I4" s="7" t="s">
        <v>18</v>
      </c>
      <c r="J4" s="9" t="s">
        <v>19</v>
      </c>
      <c r="K4" s="7"/>
    </row>
    <row r="5" spans="2:11" ht="14.25" customHeight="1" x14ac:dyDescent="0.25">
      <c r="B5" s="7" t="s">
        <v>20</v>
      </c>
      <c r="C5" s="7" t="s">
        <v>16</v>
      </c>
      <c r="D5" s="7" t="s">
        <v>12</v>
      </c>
      <c r="E5" s="8" t="s">
        <v>21</v>
      </c>
      <c r="F5" s="7">
        <v>1</v>
      </c>
      <c r="G5" s="26">
        <v>1.04</v>
      </c>
      <c r="H5" s="26">
        <f t="shared" si="0"/>
        <v>1.04</v>
      </c>
      <c r="I5" s="7" t="s">
        <v>18</v>
      </c>
      <c r="J5" s="9" t="s">
        <v>22</v>
      </c>
      <c r="K5" s="7"/>
    </row>
    <row r="6" spans="2:11" ht="14.25" customHeight="1" x14ac:dyDescent="0.25">
      <c r="B6" s="7" t="s">
        <v>23</v>
      </c>
      <c r="C6" s="7" t="s">
        <v>24</v>
      </c>
      <c r="D6" s="7" t="s">
        <v>12</v>
      </c>
      <c r="E6" s="8" t="s">
        <v>25</v>
      </c>
      <c r="F6" s="7">
        <v>2</v>
      </c>
      <c r="G6" s="26">
        <v>1.5</v>
      </c>
      <c r="H6" s="26">
        <f t="shared" si="0"/>
        <v>3</v>
      </c>
      <c r="I6" s="7" t="s">
        <v>18</v>
      </c>
      <c r="J6" s="9" t="s">
        <v>26</v>
      </c>
      <c r="K6" s="7"/>
    </row>
    <row r="7" spans="2:11" ht="14.25" customHeight="1" x14ac:dyDescent="0.25">
      <c r="B7" s="7" t="s">
        <v>27</v>
      </c>
      <c r="C7" s="7" t="s">
        <v>28</v>
      </c>
      <c r="D7" s="7" t="s">
        <v>12</v>
      </c>
      <c r="E7" s="8" t="s">
        <v>29</v>
      </c>
      <c r="F7" s="7">
        <v>2</v>
      </c>
      <c r="G7" s="26">
        <v>0.224</v>
      </c>
      <c r="H7" s="26">
        <f t="shared" si="0"/>
        <v>0.44800000000000001</v>
      </c>
      <c r="I7" s="7" t="s">
        <v>18</v>
      </c>
      <c r="J7" s="9" t="s">
        <v>30</v>
      </c>
      <c r="K7" s="7"/>
    </row>
    <row r="8" spans="2:11" ht="14.25" customHeight="1" x14ac:dyDescent="0.25">
      <c r="B8" s="7" t="s">
        <v>31</v>
      </c>
      <c r="C8" s="7" t="s">
        <v>28</v>
      </c>
      <c r="D8" s="7" t="s">
        <v>12</v>
      </c>
      <c r="E8" s="8" t="s">
        <v>32</v>
      </c>
      <c r="F8" s="7">
        <v>1</v>
      </c>
      <c r="G8" s="26">
        <v>0.19800000000000001</v>
      </c>
      <c r="H8" s="26">
        <f t="shared" si="0"/>
        <v>0.19800000000000001</v>
      </c>
      <c r="I8" s="7" t="s">
        <v>18</v>
      </c>
      <c r="J8" s="9" t="s">
        <v>33</v>
      </c>
      <c r="K8" s="7"/>
    </row>
    <row r="9" spans="2:11" ht="14.25" customHeight="1" x14ac:dyDescent="0.25">
      <c r="B9" s="7" t="s">
        <v>34</v>
      </c>
      <c r="C9" s="7" t="s">
        <v>35</v>
      </c>
      <c r="D9" s="7" t="s">
        <v>36</v>
      </c>
      <c r="E9" s="8" t="s">
        <v>37</v>
      </c>
      <c r="F9" s="7">
        <v>2</v>
      </c>
      <c r="G9" s="26">
        <v>0.26700000000000002</v>
      </c>
      <c r="H9" s="26">
        <f t="shared" si="0"/>
        <v>0.53400000000000003</v>
      </c>
      <c r="I9" s="7" t="s">
        <v>18</v>
      </c>
      <c r="J9" s="9" t="s">
        <v>38</v>
      </c>
      <c r="K9" s="7"/>
    </row>
    <row r="10" spans="2:11" ht="14.25" customHeight="1" x14ac:dyDescent="0.25">
      <c r="B10" s="7" t="s">
        <v>39</v>
      </c>
      <c r="C10" s="7" t="s">
        <v>35</v>
      </c>
      <c r="D10" s="7" t="s">
        <v>40</v>
      </c>
      <c r="E10" s="8" t="s">
        <v>41</v>
      </c>
      <c r="F10" s="7">
        <v>2</v>
      </c>
      <c r="G10" s="26">
        <v>8.5999999999999993E-2</v>
      </c>
      <c r="H10" s="26">
        <f t="shared" si="0"/>
        <v>0.17199999999999999</v>
      </c>
      <c r="I10" s="7" t="s">
        <v>18</v>
      </c>
      <c r="J10" s="9" t="s">
        <v>42</v>
      </c>
      <c r="K10" s="7"/>
    </row>
    <row r="11" spans="2:11" ht="14.25" customHeight="1" x14ac:dyDescent="0.25">
      <c r="B11" s="7" t="s">
        <v>43</v>
      </c>
      <c r="C11" s="7" t="s">
        <v>44</v>
      </c>
      <c r="D11" s="7" t="s">
        <v>45</v>
      </c>
      <c r="E11" s="8" t="s">
        <v>46</v>
      </c>
      <c r="F11" s="7">
        <v>2</v>
      </c>
      <c r="G11" s="26">
        <v>0.65400000000000003</v>
      </c>
      <c r="H11" s="26">
        <f t="shared" si="0"/>
        <v>1.3080000000000001</v>
      </c>
      <c r="I11" s="7" t="s">
        <v>18</v>
      </c>
      <c r="J11" s="9" t="s">
        <v>47</v>
      </c>
      <c r="K11" s="7"/>
    </row>
    <row r="12" spans="2:11" ht="14.25" customHeight="1" x14ac:dyDescent="0.25">
      <c r="B12" s="7" t="s">
        <v>48</v>
      </c>
      <c r="C12" s="7" t="s">
        <v>44</v>
      </c>
      <c r="D12" s="7" t="s">
        <v>49</v>
      </c>
      <c r="E12" s="8" t="s">
        <v>50</v>
      </c>
      <c r="F12" s="7">
        <v>2</v>
      </c>
      <c r="G12" s="26">
        <v>0.224</v>
      </c>
      <c r="H12" s="26">
        <f t="shared" si="0"/>
        <v>0.44800000000000001</v>
      </c>
      <c r="I12" s="7" t="s">
        <v>18</v>
      </c>
      <c r="J12" s="9" t="s">
        <v>51</v>
      </c>
      <c r="K12" s="7"/>
    </row>
    <row r="13" spans="2:11" ht="14.25" customHeight="1" x14ac:dyDescent="0.25">
      <c r="B13" s="7" t="s">
        <v>52</v>
      </c>
      <c r="C13" s="7" t="s">
        <v>44</v>
      </c>
      <c r="D13" s="7" t="s">
        <v>53</v>
      </c>
      <c r="E13" s="8" t="s">
        <v>54</v>
      </c>
      <c r="F13" s="7">
        <v>2</v>
      </c>
      <c r="G13" s="26">
        <v>0.26700000000000002</v>
      </c>
      <c r="H13" s="26">
        <f t="shared" si="0"/>
        <v>0.53400000000000003</v>
      </c>
      <c r="I13" s="7" t="s">
        <v>18</v>
      </c>
      <c r="J13" s="9" t="s">
        <v>55</v>
      </c>
      <c r="K13" s="7"/>
    </row>
    <row r="14" spans="2:11" ht="14.25" customHeight="1" x14ac:dyDescent="0.25">
      <c r="B14" s="7" t="s">
        <v>56</v>
      </c>
      <c r="C14" s="7" t="s">
        <v>44</v>
      </c>
      <c r="D14" s="7" t="s">
        <v>57</v>
      </c>
      <c r="E14" s="8" t="s">
        <v>58</v>
      </c>
      <c r="F14" s="7">
        <v>1</v>
      </c>
      <c r="G14" s="26">
        <v>0.35299999999999998</v>
      </c>
      <c r="H14" s="26">
        <f t="shared" si="0"/>
        <v>0.35299999999999998</v>
      </c>
      <c r="I14" s="7" t="s">
        <v>18</v>
      </c>
      <c r="J14" s="9" t="s">
        <v>59</v>
      </c>
      <c r="K14" s="7"/>
    </row>
    <row r="15" spans="2:11" ht="14.25" customHeight="1" x14ac:dyDescent="0.25">
      <c r="B15" s="7" t="s">
        <v>60</v>
      </c>
      <c r="C15" s="7" t="s">
        <v>44</v>
      </c>
      <c r="D15" s="7" t="s">
        <v>61</v>
      </c>
      <c r="E15" s="8">
        <v>860020672011</v>
      </c>
      <c r="F15" s="7">
        <v>1</v>
      </c>
      <c r="G15" s="26">
        <v>0.10299999999999999</v>
      </c>
      <c r="H15" s="26">
        <f t="shared" si="0"/>
        <v>0.10299999999999999</v>
      </c>
      <c r="I15" s="7" t="s">
        <v>18</v>
      </c>
      <c r="J15" s="9" t="s">
        <v>62</v>
      </c>
      <c r="K15" s="7"/>
    </row>
    <row r="16" spans="2:11" ht="14.25" customHeight="1" x14ac:dyDescent="0.25">
      <c r="B16" s="7" t="s">
        <v>63</v>
      </c>
      <c r="C16" s="7" t="s">
        <v>44</v>
      </c>
      <c r="D16" s="7" t="s">
        <v>64</v>
      </c>
      <c r="E16" s="8" t="s">
        <v>65</v>
      </c>
      <c r="F16" s="7">
        <v>1</v>
      </c>
      <c r="G16" s="26">
        <v>0.48199999999999998</v>
      </c>
      <c r="H16" s="26">
        <f t="shared" si="0"/>
        <v>0.48199999999999998</v>
      </c>
      <c r="I16" s="7" t="s">
        <v>18</v>
      </c>
      <c r="J16" s="9" t="s">
        <v>66</v>
      </c>
      <c r="K16" s="7"/>
    </row>
    <row r="17" spans="2:11" ht="14.25" customHeight="1" x14ac:dyDescent="0.25">
      <c r="B17" s="7" t="s">
        <v>67</v>
      </c>
      <c r="C17" s="7" t="s">
        <v>68</v>
      </c>
      <c r="D17" s="7" t="s">
        <v>69</v>
      </c>
      <c r="E17" s="8">
        <v>7447471331</v>
      </c>
      <c r="F17" s="7">
        <v>1</v>
      </c>
      <c r="G17" s="26">
        <v>2.2400000000000002</v>
      </c>
      <c r="H17" s="26">
        <f t="shared" si="0"/>
        <v>2.2400000000000002</v>
      </c>
      <c r="I17" s="7" t="s">
        <v>18</v>
      </c>
      <c r="J17" s="9" t="s">
        <v>70</v>
      </c>
      <c r="K17" s="7"/>
    </row>
    <row r="18" spans="2:11" ht="14.25" customHeight="1" x14ac:dyDescent="0.25">
      <c r="B18" s="7" t="s">
        <v>71</v>
      </c>
      <c r="C18" s="7" t="s">
        <v>72</v>
      </c>
      <c r="D18" s="7" t="s">
        <v>12</v>
      </c>
      <c r="E18" s="8">
        <v>60900213421</v>
      </c>
      <c r="F18" s="7">
        <v>1</v>
      </c>
      <c r="G18" s="26">
        <v>0.26700000000000002</v>
      </c>
      <c r="H18" s="26">
        <f t="shared" si="0"/>
        <v>0.26700000000000002</v>
      </c>
      <c r="I18" s="7" t="s">
        <v>18</v>
      </c>
      <c r="J18" s="9" t="s">
        <v>73</v>
      </c>
      <c r="K18" s="7"/>
    </row>
    <row r="19" spans="2:11" ht="14.25" customHeight="1" x14ac:dyDescent="0.25">
      <c r="B19" s="7" t="s">
        <v>74</v>
      </c>
      <c r="C19" s="7" t="s">
        <v>75</v>
      </c>
      <c r="D19" s="7" t="s">
        <v>12</v>
      </c>
      <c r="E19" s="8" t="s">
        <v>76</v>
      </c>
      <c r="F19" s="7">
        <v>2</v>
      </c>
      <c r="G19" s="26">
        <v>2.81</v>
      </c>
      <c r="H19" s="26">
        <f t="shared" si="0"/>
        <v>5.62</v>
      </c>
      <c r="I19" s="7" t="s">
        <v>14</v>
      </c>
      <c r="J19" s="9" t="s">
        <v>77</v>
      </c>
      <c r="K19" s="7"/>
    </row>
    <row r="20" spans="2:11" ht="14.25" customHeight="1" x14ac:dyDescent="0.25">
      <c r="B20" s="7" t="s">
        <v>78</v>
      </c>
      <c r="C20" s="7" t="s">
        <v>75</v>
      </c>
      <c r="D20" s="7" t="s">
        <v>12</v>
      </c>
      <c r="E20" s="8" t="s">
        <v>79</v>
      </c>
      <c r="F20" s="7">
        <v>1</v>
      </c>
      <c r="G20" s="26">
        <v>2.84</v>
      </c>
      <c r="H20" s="26">
        <f t="shared" si="0"/>
        <v>2.84</v>
      </c>
      <c r="I20" s="7" t="s">
        <v>14</v>
      </c>
      <c r="J20" s="9" t="s">
        <v>80</v>
      </c>
      <c r="K20" s="7"/>
    </row>
    <row r="21" spans="2:11" ht="14.25" customHeight="1" x14ac:dyDescent="0.25">
      <c r="B21" s="7" t="s">
        <v>81</v>
      </c>
      <c r="C21" s="7" t="s">
        <v>75</v>
      </c>
      <c r="D21" s="7" t="s">
        <v>12</v>
      </c>
      <c r="E21" s="8" t="s">
        <v>82</v>
      </c>
      <c r="F21" s="7">
        <v>2</v>
      </c>
      <c r="G21" s="26">
        <f>13.05/50</f>
        <v>0.26100000000000001</v>
      </c>
      <c r="H21" s="26">
        <f t="shared" si="0"/>
        <v>0.52200000000000002</v>
      </c>
      <c r="I21" s="7" t="s">
        <v>14</v>
      </c>
      <c r="J21" s="9" t="s">
        <v>83</v>
      </c>
      <c r="K21" s="7"/>
    </row>
    <row r="22" spans="2:11" ht="14.25" customHeight="1" x14ac:dyDescent="0.25">
      <c r="B22" s="7" t="s">
        <v>84</v>
      </c>
      <c r="C22" s="7" t="s">
        <v>75</v>
      </c>
      <c r="D22" s="7" t="s">
        <v>12</v>
      </c>
      <c r="E22" s="8" t="s">
        <v>85</v>
      </c>
      <c r="F22" s="7">
        <v>1</v>
      </c>
      <c r="G22" s="26">
        <f>1.94/10</f>
        <v>0.19400000000000001</v>
      </c>
      <c r="H22" s="26">
        <f t="shared" si="0"/>
        <v>0.19400000000000001</v>
      </c>
      <c r="I22" s="7" t="s">
        <v>14</v>
      </c>
      <c r="J22" s="9" t="s">
        <v>86</v>
      </c>
      <c r="K22" s="7"/>
    </row>
    <row r="23" spans="2:11" ht="14.25" customHeight="1" x14ac:dyDescent="0.25">
      <c r="B23" s="7" t="s">
        <v>87</v>
      </c>
      <c r="C23" s="7" t="s">
        <v>75</v>
      </c>
      <c r="D23" s="7" t="s">
        <v>12</v>
      </c>
      <c r="E23" s="8" t="s">
        <v>88</v>
      </c>
      <c r="F23" s="7">
        <v>1</v>
      </c>
      <c r="G23" s="26">
        <f>2.11/10</f>
        <v>0.21099999999999999</v>
      </c>
      <c r="H23" s="26">
        <f t="shared" si="0"/>
        <v>0.21099999999999999</v>
      </c>
      <c r="I23" s="7" t="s">
        <v>14</v>
      </c>
      <c r="J23" s="9" t="s">
        <v>89</v>
      </c>
      <c r="K23" s="7"/>
    </row>
    <row r="24" spans="2:11" ht="14.25" customHeight="1" x14ac:dyDescent="0.25">
      <c r="B24" s="10" t="s">
        <v>90</v>
      </c>
      <c r="C24" s="10" t="s">
        <v>75</v>
      </c>
      <c r="D24" s="10" t="s">
        <v>12</v>
      </c>
      <c r="E24" s="11" t="s">
        <v>91</v>
      </c>
      <c r="F24" s="10">
        <v>2</v>
      </c>
      <c r="G24" s="27">
        <f>1.99/10</f>
        <v>0.19900000000000001</v>
      </c>
      <c r="H24" s="27">
        <f t="shared" si="0"/>
        <v>0.39800000000000002</v>
      </c>
      <c r="I24" s="10" t="s">
        <v>14</v>
      </c>
      <c r="J24" s="12" t="s">
        <v>92</v>
      </c>
      <c r="K24" s="10"/>
    </row>
    <row r="26" spans="2:11" ht="14.25" customHeight="1" x14ac:dyDescent="0.25">
      <c r="G26" s="13" t="s">
        <v>93</v>
      </c>
      <c r="H26" s="28">
        <f>SUM(H3:H24)</f>
        <v>32.832000000000008</v>
      </c>
    </row>
    <row r="32" spans="2:11" ht="14.25" customHeight="1" x14ac:dyDescent="0.25">
      <c r="F32" s="14"/>
    </row>
  </sheetData>
  <phoneticPr fontId="0" type="noConversion"/>
  <pageMargins left="0.75" right="0.75" top="0.75" bottom="0.75" header="0.25" footer="0.2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35"/>
  <sheetViews>
    <sheetView workbookViewId="0">
      <selection activeCell="E34" sqref="E34"/>
    </sheetView>
  </sheetViews>
  <sheetFormatPr baseColWidth="10" defaultColWidth="5.5703125" defaultRowHeight="14.25" customHeight="1" x14ac:dyDescent="0.25"/>
  <cols>
    <col min="2" max="2" width="22.42578125" customWidth="1"/>
    <col min="3" max="3" width="16.42578125" customWidth="1"/>
    <col min="4" max="4" width="8.140625" customWidth="1"/>
    <col min="5" max="5" width="41.140625" customWidth="1"/>
    <col min="6" max="6" width="7.85546875" customWidth="1"/>
    <col min="7" max="7" width="13.5703125" customWidth="1"/>
    <col min="8" max="8" width="10.85546875" customWidth="1"/>
    <col min="9" max="9" width="25.5703125" customWidth="1"/>
    <col min="10" max="10" width="56" customWidth="1"/>
    <col min="11" max="11" width="12.140625" customWidth="1"/>
  </cols>
  <sheetData>
    <row r="2" spans="2:11" ht="26.25" customHeight="1" x14ac:dyDescent="0.25">
      <c r="B2" s="6" t="s">
        <v>0</v>
      </c>
      <c r="C2" s="6" t="s">
        <v>1</v>
      </c>
      <c r="D2" s="6" t="s">
        <v>2</v>
      </c>
      <c r="E2" s="15" t="s">
        <v>3</v>
      </c>
      <c r="F2" s="16" t="s">
        <v>4</v>
      </c>
      <c r="G2" s="16" t="s">
        <v>94</v>
      </c>
      <c r="H2" s="16" t="s">
        <v>95</v>
      </c>
      <c r="I2" s="16" t="s">
        <v>7</v>
      </c>
      <c r="J2" s="17" t="s">
        <v>8</v>
      </c>
      <c r="K2" s="6" t="s">
        <v>9</v>
      </c>
    </row>
    <row r="3" spans="2:11" ht="15" customHeight="1" x14ac:dyDescent="0.25">
      <c r="B3" s="7" t="s">
        <v>96</v>
      </c>
      <c r="C3" s="7" t="s">
        <v>97</v>
      </c>
      <c r="D3" s="7"/>
      <c r="E3" s="18"/>
      <c r="F3" s="19">
        <v>1</v>
      </c>
      <c r="G3" s="26">
        <f>10.5/5</f>
        <v>2.1</v>
      </c>
      <c r="H3" s="26">
        <f>F3*G3</f>
        <v>2.1</v>
      </c>
      <c r="I3" s="19" t="s">
        <v>98</v>
      </c>
      <c r="J3" s="43" t="s">
        <v>99</v>
      </c>
      <c r="K3" s="20"/>
    </row>
    <row r="4" spans="2:11" ht="15" customHeight="1" x14ac:dyDescent="0.25">
      <c r="B4" s="7" t="s">
        <v>100</v>
      </c>
      <c r="C4" s="7" t="s">
        <v>101</v>
      </c>
      <c r="D4" s="7"/>
      <c r="E4" s="18" t="s">
        <v>102</v>
      </c>
      <c r="F4" s="19">
        <v>1</v>
      </c>
      <c r="G4" s="26">
        <v>14.73</v>
      </c>
      <c r="H4" s="26">
        <f>F4*G4</f>
        <v>14.73</v>
      </c>
      <c r="I4" s="19" t="s">
        <v>18</v>
      </c>
      <c r="J4" s="43" t="s">
        <v>103</v>
      </c>
      <c r="K4" s="20"/>
    </row>
    <row r="5" spans="2:11" ht="15" customHeight="1" x14ac:dyDescent="0.25">
      <c r="B5" s="7" t="s">
        <v>104</v>
      </c>
      <c r="C5" s="7" t="s">
        <v>105</v>
      </c>
      <c r="D5" s="7"/>
      <c r="E5" s="18"/>
      <c r="F5" s="20">
        <v>1</v>
      </c>
      <c r="G5" s="23">
        <v>23.62</v>
      </c>
      <c r="H5" s="23">
        <f>F5*G5</f>
        <v>23.62</v>
      </c>
      <c r="I5" s="25" t="s">
        <v>106</v>
      </c>
      <c r="J5" s="27" t="s">
        <v>107</v>
      </c>
      <c r="K5" s="20"/>
    </row>
    <row r="6" spans="2:11" ht="15" customHeight="1" x14ac:dyDescent="0.25">
      <c r="B6" s="7" t="s">
        <v>108</v>
      </c>
      <c r="C6" s="7" t="s">
        <v>101</v>
      </c>
      <c r="D6" s="7"/>
      <c r="E6" s="18"/>
      <c r="F6" s="57"/>
      <c r="G6" s="22"/>
      <c r="H6" s="22"/>
      <c r="I6" s="24"/>
      <c r="J6" s="26"/>
      <c r="K6" s="20"/>
    </row>
    <row r="7" spans="2:11" ht="15" customHeight="1" x14ac:dyDescent="0.25">
      <c r="B7" s="7" t="s">
        <v>109</v>
      </c>
      <c r="C7" s="7" t="s">
        <v>110</v>
      </c>
      <c r="D7" s="7"/>
      <c r="E7" s="18"/>
      <c r="F7" s="19">
        <v>2</v>
      </c>
      <c r="G7" s="26">
        <f>5.43</f>
        <v>5.43</v>
      </c>
      <c r="H7" s="26">
        <f t="shared" ref="H7:H27" si="0">F7*G7</f>
        <v>10.86</v>
      </c>
      <c r="I7" s="19" t="s">
        <v>18</v>
      </c>
      <c r="J7" s="43" t="s">
        <v>111</v>
      </c>
      <c r="K7" s="20"/>
    </row>
    <row r="8" spans="2:11" ht="15" customHeight="1" x14ac:dyDescent="0.25">
      <c r="B8" s="7" t="s">
        <v>112</v>
      </c>
      <c r="C8" s="7" t="s">
        <v>113</v>
      </c>
      <c r="D8" s="7"/>
      <c r="E8" s="18"/>
      <c r="F8" s="19">
        <v>1</v>
      </c>
      <c r="G8" s="26">
        <v>116.59</v>
      </c>
      <c r="H8" s="26">
        <f t="shared" si="0"/>
        <v>116.59</v>
      </c>
      <c r="I8" s="19" t="s">
        <v>18</v>
      </c>
      <c r="J8" s="43" t="s">
        <v>114</v>
      </c>
      <c r="K8" s="20"/>
    </row>
    <row r="9" spans="2:11" ht="15" customHeight="1" x14ac:dyDescent="0.25">
      <c r="B9" s="7" t="s">
        <v>115</v>
      </c>
      <c r="C9" s="7" t="s">
        <v>116</v>
      </c>
      <c r="D9" s="7"/>
      <c r="E9" s="18"/>
      <c r="F9" s="56">
        <v>1</v>
      </c>
      <c r="G9" s="26">
        <v>24.9899999999997</v>
      </c>
      <c r="H9" s="26">
        <f t="shared" si="0"/>
        <v>24.9899999999997</v>
      </c>
      <c r="I9" s="19" t="s">
        <v>117</v>
      </c>
      <c r="J9" s="43" t="s">
        <v>118</v>
      </c>
      <c r="K9" s="20"/>
    </row>
    <row r="10" spans="2:11" ht="15" customHeight="1" x14ac:dyDescent="0.25">
      <c r="B10" s="7" t="s">
        <v>119</v>
      </c>
      <c r="C10" s="7" t="s">
        <v>120</v>
      </c>
      <c r="D10" s="7"/>
      <c r="E10" s="18"/>
      <c r="F10" s="58">
        <v>1</v>
      </c>
      <c r="G10" s="59">
        <v>6.84</v>
      </c>
      <c r="H10" s="23">
        <f t="shared" si="0"/>
        <v>6.84</v>
      </c>
      <c r="I10" s="20" t="s">
        <v>18</v>
      </c>
      <c r="J10" s="61" t="s">
        <v>121</v>
      </c>
      <c r="K10" s="20"/>
    </row>
    <row r="11" spans="2:11" ht="15" customHeight="1" x14ac:dyDescent="0.25">
      <c r="B11" s="55" t="s">
        <v>122</v>
      </c>
      <c r="C11" s="20" t="s">
        <v>123</v>
      </c>
      <c r="D11" s="7"/>
      <c r="E11" s="18"/>
      <c r="F11" s="20"/>
      <c r="G11" s="60"/>
      <c r="H11" s="22"/>
      <c r="I11" s="57"/>
      <c r="J11" s="62"/>
      <c r="K11" s="20"/>
    </row>
    <row r="12" spans="2:11" ht="15" customHeight="1" x14ac:dyDescent="0.25">
      <c r="B12" s="30" t="s">
        <v>124</v>
      </c>
      <c r="C12" s="20" t="s">
        <v>75</v>
      </c>
      <c r="D12" s="7"/>
      <c r="E12" s="18"/>
      <c r="F12" s="54">
        <v>1</v>
      </c>
      <c r="G12" s="26">
        <v>12.2899999999999</v>
      </c>
      <c r="H12" s="26">
        <f t="shared" si="0"/>
        <v>12.2899999999999</v>
      </c>
      <c r="I12" s="19" t="s">
        <v>14</v>
      </c>
      <c r="J12" s="43" t="s">
        <v>125</v>
      </c>
      <c r="K12" s="20"/>
    </row>
    <row r="13" spans="2:11" ht="15" customHeight="1" x14ac:dyDescent="0.25">
      <c r="B13" s="29"/>
      <c r="C13" s="20" t="s">
        <v>126</v>
      </c>
      <c r="D13" s="7"/>
      <c r="E13" s="18"/>
      <c r="F13" s="19">
        <v>1</v>
      </c>
      <c r="G13" s="26">
        <v>5.8</v>
      </c>
      <c r="H13" s="26">
        <f t="shared" si="0"/>
        <v>5.8</v>
      </c>
      <c r="I13" s="19" t="s">
        <v>14</v>
      </c>
      <c r="J13" s="43" t="s">
        <v>127</v>
      </c>
      <c r="K13" s="20"/>
    </row>
    <row r="14" spans="2:11" ht="15" customHeight="1" x14ac:dyDescent="0.25">
      <c r="B14" s="28"/>
      <c r="C14" s="20" t="s">
        <v>128</v>
      </c>
      <c r="D14" s="7"/>
      <c r="E14" s="18"/>
      <c r="F14" s="19">
        <v>2</v>
      </c>
      <c r="G14" s="26">
        <f>3.55/10</f>
        <v>0.35499999999999998</v>
      </c>
      <c r="H14" s="26">
        <f t="shared" si="0"/>
        <v>0.71</v>
      </c>
      <c r="I14" s="19" t="s">
        <v>14</v>
      </c>
      <c r="J14" s="43" t="s">
        <v>129</v>
      </c>
      <c r="K14" s="20"/>
    </row>
    <row r="15" spans="2:11" ht="15" customHeight="1" x14ac:dyDescent="0.25">
      <c r="B15" s="21" t="s">
        <v>130</v>
      </c>
      <c r="C15" s="7" t="s">
        <v>75</v>
      </c>
      <c r="D15" s="7"/>
      <c r="E15" s="18"/>
      <c r="F15" s="19">
        <v>1</v>
      </c>
      <c r="G15" s="26">
        <v>3.89</v>
      </c>
      <c r="H15" s="26">
        <f t="shared" si="0"/>
        <v>3.89</v>
      </c>
      <c r="I15" s="19" t="s">
        <v>14</v>
      </c>
      <c r="J15" s="43" t="s">
        <v>131</v>
      </c>
      <c r="K15" s="20"/>
    </row>
    <row r="16" spans="2:11" ht="15" customHeight="1" x14ac:dyDescent="0.25">
      <c r="B16" s="7" t="s">
        <v>132</v>
      </c>
      <c r="C16" s="7" t="s">
        <v>75</v>
      </c>
      <c r="D16" s="7"/>
      <c r="E16" s="18"/>
      <c r="F16" s="19">
        <v>1</v>
      </c>
      <c r="G16" s="26">
        <v>3.85</v>
      </c>
      <c r="H16" s="26">
        <f t="shared" si="0"/>
        <v>3.85</v>
      </c>
      <c r="I16" s="19" t="s">
        <v>14</v>
      </c>
      <c r="J16" s="43" t="s">
        <v>133</v>
      </c>
      <c r="K16" s="20"/>
    </row>
    <row r="17" spans="2:11" ht="15" customHeight="1" x14ac:dyDescent="0.25">
      <c r="B17" s="7" t="s">
        <v>134</v>
      </c>
      <c r="C17" s="7" t="s">
        <v>75</v>
      </c>
      <c r="D17" s="7"/>
      <c r="E17" s="7" t="s">
        <v>82</v>
      </c>
      <c r="F17" s="19">
        <v>1</v>
      </c>
      <c r="G17" s="26">
        <f>13.05/50</f>
        <v>0.26100000000000001</v>
      </c>
      <c r="H17" s="26">
        <f t="shared" si="0"/>
        <v>0.26100000000000001</v>
      </c>
      <c r="I17" s="19" t="s">
        <v>14</v>
      </c>
      <c r="J17" s="43" t="s">
        <v>83</v>
      </c>
      <c r="K17" s="20"/>
    </row>
    <row r="18" spans="2:11" ht="15" customHeight="1" x14ac:dyDescent="0.25">
      <c r="B18" s="7" t="s">
        <v>135</v>
      </c>
      <c r="C18" s="7" t="s">
        <v>75</v>
      </c>
      <c r="D18" s="7"/>
      <c r="E18" s="7" t="s">
        <v>136</v>
      </c>
      <c r="F18" s="19">
        <v>2</v>
      </c>
      <c r="G18" s="26"/>
      <c r="H18" s="26">
        <f t="shared" si="0"/>
        <v>0</v>
      </c>
      <c r="I18" s="19"/>
      <c r="J18" s="43"/>
      <c r="K18" s="20"/>
    </row>
    <row r="19" spans="2:11" ht="15" customHeight="1" x14ac:dyDescent="0.25">
      <c r="B19" s="7" t="s">
        <v>137</v>
      </c>
      <c r="C19" s="7" t="s">
        <v>75</v>
      </c>
      <c r="D19" s="7"/>
      <c r="E19" s="7" t="s">
        <v>138</v>
      </c>
      <c r="F19" s="19">
        <v>1</v>
      </c>
      <c r="G19" s="26"/>
      <c r="H19" s="26">
        <f t="shared" si="0"/>
        <v>0</v>
      </c>
      <c r="I19" s="19"/>
      <c r="J19" s="43"/>
      <c r="K19" s="20"/>
    </row>
    <row r="20" spans="2:11" ht="15" customHeight="1" x14ac:dyDescent="0.25">
      <c r="B20" s="7" t="s">
        <v>139</v>
      </c>
      <c r="C20" s="7" t="s">
        <v>75</v>
      </c>
      <c r="D20" s="7"/>
      <c r="E20" s="10" t="s">
        <v>140</v>
      </c>
      <c r="F20" s="19">
        <v>2</v>
      </c>
      <c r="G20" s="26"/>
      <c r="H20" s="26">
        <f t="shared" si="0"/>
        <v>0</v>
      </c>
      <c r="I20" s="19"/>
      <c r="J20" s="43"/>
      <c r="K20" s="20"/>
    </row>
    <row r="21" spans="2:11" ht="15" customHeight="1" x14ac:dyDescent="0.25">
      <c r="B21" s="7" t="s">
        <v>217</v>
      </c>
      <c r="C21" s="7" t="s">
        <v>75</v>
      </c>
      <c r="D21" s="7"/>
      <c r="E21" s="42"/>
      <c r="F21" s="19"/>
      <c r="G21" s="26"/>
      <c r="H21" s="26">
        <f t="shared" si="0"/>
        <v>0</v>
      </c>
      <c r="I21" s="19"/>
      <c r="J21" s="43"/>
      <c r="K21" s="41"/>
    </row>
    <row r="22" spans="2:11" ht="15" customHeight="1" x14ac:dyDescent="0.25">
      <c r="B22" s="7" t="s">
        <v>141</v>
      </c>
      <c r="C22" s="7" t="s">
        <v>142</v>
      </c>
      <c r="D22" s="7"/>
      <c r="E22" s="18"/>
      <c r="F22" s="19">
        <f>4+8+4</f>
        <v>16</v>
      </c>
      <c r="G22" s="26">
        <f>7.5/250</f>
        <v>0.03</v>
      </c>
      <c r="H22" s="26">
        <f t="shared" si="0"/>
        <v>0.48</v>
      </c>
      <c r="I22" s="19" t="s">
        <v>14</v>
      </c>
      <c r="J22" s="43" t="s">
        <v>143</v>
      </c>
      <c r="K22" s="20"/>
    </row>
    <row r="23" spans="2:11" ht="15" customHeight="1" x14ac:dyDescent="0.25">
      <c r="B23" s="7" t="s">
        <v>144</v>
      </c>
      <c r="C23" s="7" t="s">
        <v>142</v>
      </c>
      <c r="D23" s="7"/>
      <c r="E23" s="18"/>
      <c r="F23" s="19">
        <v>3</v>
      </c>
      <c r="G23" s="26">
        <f>6.1/100</f>
        <v>6.0999999999999999E-2</v>
      </c>
      <c r="H23" s="26">
        <f t="shared" si="0"/>
        <v>0.183</v>
      </c>
      <c r="I23" s="19" t="s">
        <v>14</v>
      </c>
      <c r="J23" s="43" t="s">
        <v>145</v>
      </c>
      <c r="K23" s="20"/>
    </row>
    <row r="24" spans="2:11" ht="15" customHeight="1" x14ac:dyDescent="0.25">
      <c r="B24" s="7" t="s">
        <v>215</v>
      </c>
      <c r="C24" s="7" t="s">
        <v>142</v>
      </c>
      <c r="D24" s="7"/>
      <c r="E24" s="40"/>
      <c r="F24" s="19">
        <v>3</v>
      </c>
      <c r="G24" s="26">
        <f>5.5/100</f>
        <v>5.5E-2</v>
      </c>
      <c r="H24" s="26">
        <f t="shared" si="0"/>
        <v>0.16500000000000001</v>
      </c>
      <c r="I24" s="19" t="s">
        <v>14</v>
      </c>
      <c r="J24" s="43" t="s">
        <v>216</v>
      </c>
      <c r="K24" s="41"/>
    </row>
    <row r="25" spans="2:11" ht="15" customHeight="1" x14ac:dyDescent="0.25">
      <c r="B25" s="7" t="s">
        <v>223</v>
      </c>
      <c r="C25" s="7" t="s">
        <v>75</v>
      </c>
      <c r="D25" s="7"/>
      <c r="E25" s="40"/>
      <c r="F25" s="44">
        <v>1</v>
      </c>
      <c r="G25" s="26">
        <f>9.88/5</f>
        <v>1.9760000000000002</v>
      </c>
      <c r="H25" s="26">
        <f t="shared" si="0"/>
        <v>1.9760000000000002</v>
      </c>
      <c r="I25" s="19" t="s">
        <v>14</v>
      </c>
      <c r="J25" s="53" t="s">
        <v>222</v>
      </c>
      <c r="K25" s="41"/>
    </row>
    <row r="26" spans="2:11" ht="15" customHeight="1" x14ac:dyDescent="0.25">
      <c r="B26" s="7" t="s">
        <v>224</v>
      </c>
      <c r="C26" s="7" t="s">
        <v>75</v>
      </c>
      <c r="D26" s="7"/>
      <c r="E26" s="18"/>
      <c r="F26" s="19">
        <v>2</v>
      </c>
      <c r="G26" s="26">
        <f>7.47/10</f>
        <v>0.747</v>
      </c>
      <c r="H26" s="26">
        <f t="shared" si="0"/>
        <v>1.494</v>
      </c>
      <c r="I26" s="19" t="s">
        <v>14</v>
      </c>
      <c r="J26" s="43" t="s">
        <v>146</v>
      </c>
      <c r="K26" s="20"/>
    </row>
    <row r="27" spans="2:11" ht="15" customHeight="1" x14ac:dyDescent="0.25">
      <c r="B27" s="10" t="s">
        <v>225</v>
      </c>
      <c r="C27" s="10" t="s">
        <v>75</v>
      </c>
      <c r="D27" s="10"/>
      <c r="E27" s="22"/>
      <c r="F27" s="19">
        <v>1</v>
      </c>
      <c r="G27" s="52">
        <f>7.11/5</f>
        <v>1.4220000000000002</v>
      </c>
      <c r="H27" s="52">
        <f t="shared" si="0"/>
        <v>1.4220000000000002</v>
      </c>
      <c r="I27" s="19" t="s">
        <v>14</v>
      </c>
      <c r="J27" s="43" t="s">
        <v>147</v>
      </c>
      <c r="K27" s="23"/>
    </row>
    <row r="29" spans="2:11" ht="14.25" customHeight="1" x14ac:dyDescent="0.25">
      <c r="G29" s="13" t="s">
        <v>93</v>
      </c>
      <c r="H29" s="28">
        <f>SUM(H3:H27)</f>
        <v>232.25099999999958</v>
      </c>
    </row>
    <row r="35" spans="6:6" ht="14.25" customHeight="1" x14ac:dyDescent="0.25">
      <c r="F35" s="14"/>
    </row>
  </sheetData>
  <mergeCells count="11">
    <mergeCell ref="B12:B14"/>
    <mergeCell ref="J5:J6"/>
    <mergeCell ref="I5:I6"/>
    <mergeCell ref="G5:G6"/>
    <mergeCell ref="F5:F6"/>
    <mergeCell ref="H5:H6"/>
    <mergeCell ref="F10:F11"/>
    <mergeCell ref="G10:G11"/>
    <mergeCell ref="H10:H11"/>
    <mergeCell ref="I10:I11"/>
    <mergeCell ref="J10:J11"/>
  </mergeCells>
  <phoneticPr fontId="0" type="noConversion"/>
  <hyperlinks>
    <hyperlink ref="J5" r:id="rId1" xr:uid="{9095B6EA-ED94-408F-9851-5E2E1A004505}"/>
  </hyperlinks>
  <pageMargins left="0.75" right="0.75" top="0.75" bottom="0.75" header="0.25" footer="0.2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K49"/>
  <sheetViews>
    <sheetView tabSelected="1" workbookViewId="0">
      <selection activeCell="I20" sqref="I20"/>
    </sheetView>
  </sheetViews>
  <sheetFormatPr baseColWidth="10" defaultColWidth="5.5703125" defaultRowHeight="14.25" customHeight="1" x14ac:dyDescent="0.25"/>
  <cols>
    <col min="2" max="2" width="39.42578125" customWidth="1"/>
    <col min="3" max="3" width="21.7109375" customWidth="1"/>
    <col min="4" max="4" width="10.5703125" customWidth="1"/>
    <col min="5" max="5" width="16" customWidth="1"/>
    <col min="6" max="6" width="10.42578125" customWidth="1"/>
    <col min="7" max="8" width="13.5703125" customWidth="1"/>
    <col min="9" max="9" width="13.140625" customWidth="1"/>
    <col min="10" max="10" width="56" customWidth="1"/>
    <col min="11" max="11" width="14.28515625" customWidth="1"/>
  </cols>
  <sheetData>
    <row r="2" spans="2:11" ht="26.25" customHeight="1" x14ac:dyDescent="0.25">
      <c r="B2" s="29" t="s">
        <v>0</v>
      </c>
      <c r="C2" s="29" t="s">
        <v>1</v>
      </c>
      <c r="D2" s="29" t="s">
        <v>2</v>
      </c>
      <c r="E2" s="30" t="s">
        <v>3</v>
      </c>
      <c r="F2" s="31" t="s">
        <v>4</v>
      </c>
      <c r="G2" s="31" t="s">
        <v>148</v>
      </c>
      <c r="H2" s="31" t="s">
        <v>149</v>
      </c>
      <c r="I2" s="31" t="s">
        <v>7</v>
      </c>
      <c r="J2" s="2" t="s">
        <v>8</v>
      </c>
      <c r="K2" s="29" t="s">
        <v>9</v>
      </c>
    </row>
    <row r="3" spans="2:11" ht="14.25" customHeight="1" x14ac:dyDescent="0.25">
      <c r="B3" s="5" t="s">
        <v>150</v>
      </c>
      <c r="C3" s="1" t="s">
        <v>151</v>
      </c>
      <c r="D3" s="1" t="s">
        <v>12</v>
      </c>
      <c r="E3" s="3"/>
      <c r="F3" s="49">
        <f>8*2</f>
        <v>16</v>
      </c>
      <c r="G3" s="77">
        <f>18.98/12</f>
        <v>1.5816666666666668</v>
      </c>
      <c r="H3" s="78">
        <f>F3*G3</f>
        <v>25.306666666666668</v>
      </c>
      <c r="I3" s="26" t="s">
        <v>152</v>
      </c>
      <c r="J3" s="79" t="s">
        <v>153</v>
      </c>
      <c r="K3" s="33"/>
    </row>
    <row r="4" spans="2:11" ht="14.25" customHeight="1" x14ac:dyDescent="0.25">
      <c r="B4" s="4" t="s">
        <v>154</v>
      </c>
      <c r="C4" s="1" t="s">
        <v>155</v>
      </c>
      <c r="D4" s="1" t="s">
        <v>12</v>
      </c>
      <c r="E4" s="3"/>
      <c r="F4" s="83">
        <f>F3*3+4</f>
        <v>52</v>
      </c>
      <c r="G4" s="84"/>
      <c r="H4" s="85"/>
      <c r="I4" s="25"/>
      <c r="J4" s="86"/>
      <c r="K4" s="33"/>
    </row>
    <row r="5" spans="2:11" ht="14.25" customHeight="1" x14ac:dyDescent="0.25">
      <c r="B5" s="5" t="s">
        <v>156</v>
      </c>
      <c r="C5" s="1" t="s">
        <v>157</v>
      </c>
      <c r="D5" s="1" t="s">
        <v>12</v>
      </c>
      <c r="E5" s="3"/>
      <c r="F5" s="91">
        <v>4</v>
      </c>
      <c r="G5" s="92">
        <f>19.98/4</f>
        <v>4.9950000000000001</v>
      </c>
      <c r="H5" s="92">
        <f>F5*G5</f>
        <v>19.98</v>
      </c>
      <c r="I5" s="80" t="s">
        <v>152</v>
      </c>
      <c r="J5" s="93" t="s">
        <v>158</v>
      </c>
      <c r="K5" s="33"/>
    </row>
    <row r="6" spans="2:11" ht="14.25" customHeight="1" x14ac:dyDescent="0.25">
      <c r="B6" s="5" t="s">
        <v>226</v>
      </c>
      <c r="C6" s="81" t="s">
        <v>157</v>
      </c>
      <c r="D6" s="81" t="s">
        <v>12</v>
      </c>
      <c r="E6" s="3"/>
      <c r="F6" s="91"/>
      <c r="G6" s="92"/>
      <c r="H6" s="92"/>
      <c r="I6" s="80"/>
      <c r="J6" s="93"/>
      <c r="K6" s="82"/>
    </row>
    <row r="7" spans="2:11" ht="14.25" customHeight="1" x14ac:dyDescent="0.25">
      <c r="B7" s="5" t="s">
        <v>159</v>
      </c>
      <c r="C7" s="1" t="s">
        <v>157</v>
      </c>
      <c r="D7" s="1" t="s">
        <v>12</v>
      </c>
      <c r="E7" s="3"/>
      <c r="F7" s="94"/>
      <c r="G7" s="76"/>
      <c r="H7" s="95"/>
      <c r="I7" s="92"/>
      <c r="J7" s="96"/>
      <c r="K7" s="33"/>
    </row>
    <row r="8" spans="2:11" ht="14.25" customHeight="1" x14ac:dyDescent="0.25">
      <c r="B8" s="5" t="s">
        <v>160</v>
      </c>
      <c r="C8" s="1" t="s">
        <v>161</v>
      </c>
      <c r="D8" s="1" t="s">
        <v>12</v>
      </c>
      <c r="E8" s="3"/>
      <c r="F8" s="87">
        <f>4</f>
        <v>4</v>
      </c>
      <c r="G8" s="88">
        <f>4.75/8</f>
        <v>0.59375</v>
      </c>
      <c r="H8" s="88">
        <f t="shared" ref="H8:H27" si="0">F8*G8</f>
        <v>2.375</v>
      </c>
      <c r="I8" s="89" t="s">
        <v>152</v>
      </c>
      <c r="J8" s="90" t="s">
        <v>162</v>
      </c>
      <c r="K8" s="1"/>
    </row>
    <row r="9" spans="2:11" ht="14.25" customHeight="1" x14ac:dyDescent="0.25">
      <c r="B9" s="5" t="s">
        <v>163</v>
      </c>
      <c r="C9" s="1" t="s">
        <v>161</v>
      </c>
      <c r="D9" s="1" t="s">
        <v>12</v>
      </c>
      <c r="E9" s="3"/>
      <c r="F9" s="49">
        <f>4</f>
        <v>4</v>
      </c>
      <c r="G9" s="26">
        <f>17.98/16</f>
        <v>1.12375</v>
      </c>
      <c r="H9" s="26">
        <f t="shared" si="0"/>
        <v>4.4950000000000001</v>
      </c>
      <c r="I9" s="32" t="s">
        <v>152</v>
      </c>
      <c r="J9" s="35" t="s">
        <v>164</v>
      </c>
      <c r="K9" s="1"/>
    </row>
    <row r="10" spans="2:11" ht="14.25" customHeight="1" x14ac:dyDescent="0.25">
      <c r="B10" s="5" t="s">
        <v>165</v>
      </c>
      <c r="C10" s="1" t="s">
        <v>161</v>
      </c>
      <c r="D10" s="1" t="s">
        <v>12</v>
      </c>
      <c r="E10" s="3"/>
      <c r="F10" s="49">
        <f>4*2</f>
        <v>8</v>
      </c>
      <c r="G10" s="26">
        <f>10.15/6</f>
        <v>1.6916666666666667</v>
      </c>
      <c r="H10" s="26">
        <f t="shared" si="0"/>
        <v>13.533333333333333</v>
      </c>
      <c r="I10" s="32" t="s">
        <v>152</v>
      </c>
      <c r="J10" s="35" t="s">
        <v>166</v>
      </c>
      <c r="K10" s="1"/>
    </row>
    <row r="11" spans="2:11" ht="14.25" customHeight="1" x14ac:dyDescent="0.25">
      <c r="B11" s="5" t="s">
        <v>167</v>
      </c>
      <c r="C11" s="1" t="s">
        <v>161</v>
      </c>
      <c r="D11" s="1" t="s">
        <v>12</v>
      </c>
      <c r="E11" s="3"/>
      <c r="F11" s="49">
        <f>4*2</f>
        <v>8</v>
      </c>
      <c r="G11" s="26">
        <f>15.9/8</f>
        <v>1.9875</v>
      </c>
      <c r="H11" s="26">
        <f t="shared" si="0"/>
        <v>15.9</v>
      </c>
      <c r="I11" s="32" t="s">
        <v>152</v>
      </c>
      <c r="J11" s="35" t="s">
        <v>168</v>
      </c>
      <c r="K11" s="1"/>
    </row>
    <row r="12" spans="2:11" ht="14.25" customHeight="1" x14ac:dyDescent="0.25">
      <c r="B12" s="5" t="s">
        <v>169</v>
      </c>
      <c r="C12" s="1" t="s">
        <v>170</v>
      </c>
      <c r="D12" s="1" t="s">
        <v>12</v>
      </c>
      <c r="E12" s="3"/>
      <c r="F12" s="49">
        <v>8</v>
      </c>
      <c r="G12" s="26">
        <f>15.98/25</f>
        <v>0.63919999999999999</v>
      </c>
      <c r="H12" s="26">
        <f t="shared" si="0"/>
        <v>5.1135999999999999</v>
      </c>
      <c r="I12" s="32" t="s">
        <v>152</v>
      </c>
      <c r="J12" s="35" t="s">
        <v>171</v>
      </c>
      <c r="K12" s="1"/>
    </row>
    <row r="13" spans="2:11" ht="14.25" customHeight="1" x14ac:dyDescent="0.25">
      <c r="B13" s="5" t="s">
        <v>209</v>
      </c>
      <c r="C13" s="1" t="s">
        <v>170</v>
      </c>
      <c r="D13" s="1" t="s">
        <v>12</v>
      </c>
      <c r="E13" s="3"/>
      <c r="F13" s="49">
        <v>2</v>
      </c>
      <c r="G13" s="26">
        <f>59.7/250</f>
        <v>0.23880000000000001</v>
      </c>
      <c r="H13" s="26">
        <f t="shared" si="0"/>
        <v>0.47760000000000002</v>
      </c>
      <c r="I13" s="32" t="s">
        <v>14</v>
      </c>
      <c r="J13" s="35" t="s">
        <v>210</v>
      </c>
      <c r="K13" s="1"/>
    </row>
    <row r="14" spans="2:11" ht="14.25" customHeight="1" x14ac:dyDescent="0.25">
      <c r="B14" s="5" t="s">
        <v>172</v>
      </c>
      <c r="C14" s="1" t="s">
        <v>170</v>
      </c>
      <c r="D14" s="1" t="s">
        <v>12</v>
      </c>
      <c r="E14" s="3"/>
      <c r="F14" s="49">
        <f>10+2</f>
        <v>12</v>
      </c>
      <c r="G14" s="26">
        <f>6.55/250</f>
        <v>2.6199999999999998E-2</v>
      </c>
      <c r="H14" s="26">
        <f t="shared" si="0"/>
        <v>0.31439999999999996</v>
      </c>
      <c r="I14" s="32" t="s">
        <v>152</v>
      </c>
      <c r="J14" s="35" t="s">
        <v>173</v>
      </c>
      <c r="K14" s="1"/>
    </row>
    <row r="15" spans="2:11" ht="14.25" customHeight="1" x14ac:dyDescent="0.25">
      <c r="B15" s="5" t="s">
        <v>174</v>
      </c>
      <c r="C15" s="1" t="s">
        <v>170</v>
      </c>
      <c r="D15" s="1" t="s">
        <v>12</v>
      </c>
      <c r="E15" s="3"/>
      <c r="F15" s="49">
        <v>8</v>
      </c>
      <c r="G15" s="26">
        <f>13.09/250</f>
        <v>5.2359999999999997E-2</v>
      </c>
      <c r="H15" s="26">
        <f t="shared" si="0"/>
        <v>0.41887999999999997</v>
      </c>
      <c r="I15" s="32" t="s">
        <v>14</v>
      </c>
      <c r="J15" s="35" t="s">
        <v>175</v>
      </c>
      <c r="K15" s="1"/>
    </row>
    <row r="16" spans="2:11" ht="14.25" customHeight="1" x14ac:dyDescent="0.25">
      <c r="B16" s="5" t="s">
        <v>213</v>
      </c>
      <c r="C16" s="1" t="s">
        <v>170</v>
      </c>
      <c r="D16" s="1" t="s">
        <v>12</v>
      </c>
      <c r="E16" s="3"/>
      <c r="F16" s="49">
        <v>2</v>
      </c>
      <c r="G16" s="26">
        <f>2.78/100</f>
        <v>2.7799999999999998E-2</v>
      </c>
      <c r="H16" s="26">
        <f t="shared" si="0"/>
        <v>5.5599999999999997E-2</v>
      </c>
      <c r="I16" s="32" t="s">
        <v>14</v>
      </c>
      <c r="J16" s="35" t="s">
        <v>214</v>
      </c>
      <c r="K16" s="1"/>
    </row>
    <row r="17" spans="2:11" ht="14.25" customHeight="1" x14ac:dyDescent="0.25">
      <c r="B17" s="45" t="s">
        <v>176</v>
      </c>
      <c r="C17" s="46" t="s">
        <v>155</v>
      </c>
      <c r="D17" s="1" t="s">
        <v>12</v>
      </c>
      <c r="E17" s="47"/>
      <c r="F17" s="49">
        <v>2</v>
      </c>
      <c r="G17" s="26">
        <f>18.3/100</f>
        <v>0.183</v>
      </c>
      <c r="H17" s="26">
        <f t="shared" si="0"/>
        <v>0.36599999999999999</v>
      </c>
      <c r="I17" s="32" t="s">
        <v>14</v>
      </c>
      <c r="J17" s="35" t="s">
        <v>177</v>
      </c>
      <c r="K17" s="46"/>
    </row>
    <row r="18" spans="2:11" ht="28.5" customHeight="1" x14ac:dyDescent="0.25">
      <c r="B18" s="4" t="s">
        <v>178</v>
      </c>
      <c r="C18" s="1" t="s">
        <v>155</v>
      </c>
      <c r="D18" s="1" t="s">
        <v>12</v>
      </c>
      <c r="E18" s="3"/>
      <c r="F18" s="49">
        <v>12</v>
      </c>
      <c r="G18" s="26">
        <f>13.98/250</f>
        <v>5.5920000000000004E-2</v>
      </c>
      <c r="H18" s="26">
        <f t="shared" si="0"/>
        <v>0.67104000000000008</v>
      </c>
      <c r="I18" s="32" t="s">
        <v>152</v>
      </c>
      <c r="J18" s="35" t="s">
        <v>179</v>
      </c>
      <c r="K18" s="1"/>
    </row>
    <row r="19" spans="2:11" ht="28.5" customHeight="1" x14ac:dyDescent="0.25">
      <c r="B19" s="4" t="s">
        <v>227</v>
      </c>
      <c r="C19" s="81" t="s">
        <v>155</v>
      </c>
      <c r="D19" s="81"/>
      <c r="E19" s="3"/>
      <c r="F19" s="97"/>
      <c r="G19" s="26"/>
      <c r="H19" s="26"/>
      <c r="I19" s="98" t="s">
        <v>152</v>
      </c>
      <c r="J19" s="35"/>
      <c r="K19" s="81"/>
    </row>
    <row r="20" spans="2:11" ht="28.5" customHeight="1" x14ac:dyDescent="0.25">
      <c r="B20" s="4" t="s">
        <v>221</v>
      </c>
      <c r="C20" s="1" t="s">
        <v>155</v>
      </c>
      <c r="D20" s="1" t="s">
        <v>12</v>
      </c>
      <c r="E20" s="3"/>
      <c r="F20" s="49">
        <v>2</v>
      </c>
      <c r="G20" s="26"/>
      <c r="H20" s="26"/>
      <c r="I20" s="32"/>
      <c r="J20" s="35"/>
      <c r="K20" s="1"/>
    </row>
    <row r="21" spans="2:11" ht="28.5" customHeight="1" x14ac:dyDescent="0.25">
      <c r="B21" s="4" t="s">
        <v>208</v>
      </c>
      <c r="C21" s="1" t="s">
        <v>155</v>
      </c>
      <c r="D21" s="1" t="s">
        <v>12</v>
      </c>
      <c r="E21" s="3"/>
      <c r="F21" s="49">
        <v>4</v>
      </c>
      <c r="G21" s="26">
        <f>55.37/50</f>
        <v>1.1073999999999999</v>
      </c>
      <c r="H21" s="26">
        <f t="shared" si="0"/>
        <v>4.4295999999999998</v>
      </c>
      <c r="I21" s="32" t="s">
        <v>14</v>
      </c>
      <c r="J21" s="35" t="s">
        <v>207</v>
      </c>
      <c r="K21" s="1"/>
    </row>
    <row r="22" spans="2:11" ht="14.25" customHeight="1" x14ac:dyDescent="0.25">
      <c r="B22" s="4" t="s">
        <v>180</v>
      </c>
      <c r="C22" s="1" t="s">
        <v>155</v>
      </c>
      <c r="D22" s="1" t="s">
        <v>12</v>
      </c>
      <c r="E22" s="3"/>
      <c r="F22" s="49">
        <v>8</v>
      </c>
      <c r="G22" s="26">
        <f>25.71/200</f>
        <v>0.12855</v>
      </c>
      <c r="H22" s="26">
        <f t="shared" si="0"/>
        <v>1.0284</v>
      </c>
      <c r="I22" s="32" t="s">
        <v>14</v>
      </c>
      <c r="J22" s="35" t="s">
        <v>181</v>
      </c>
      <c r="K22" s="1"/>
    </row>
    <row r="23" spans="2:11" ht="14.25" customHeight="1" x14ac:dyDescent="0.25">
      <c r="B23" s="4" t="s">
        <v>211</v>
      </c>
      <c r="C23" s="1" t="s">
        <v>155</v>
      </c>
      <c r="D23" s="1" t="s">
        <v>12</v>
      </c>
      <c r="E23" s="3"/>
      <c r="F23" s="49">
        <v>2</v>
      </c>
      <c r="G23" s="26">
        <f>39.36/200</f>
        <v>0.1968</v>
      </c>
      <c r="H23" s="26">
        <f t="shared" si="0"/>
        <v>0.39360000000000001</v>
      </c>
      <c r="I23" s="32" t="s">
        <v>14</v>
      </c>
      <c r="J23" s="35" t="s">
        <v>212</v>
      </c>
      <c r="K23" s="33"/>
    </row>
    <row r="24" spans="2:11" ht="15" customHeight="1" x14ac:dyDescent="0.25">
      <c r="B24" s="5" t="s">
        <v>182</v>
      </c>
      <c r="C24" s="1" t="s">
        <v>183</v>
      </c>
      <c r="D24" s="1" t="s">
        <v>12</v>
      </c>
      <c r="E24" s="3"/>
      <c r="F24" s="49">
        <v>2</v>
      </c>
      <c r="G24" s="26">
        <f>17.48/5</f>
        <v>3.496</v>
      </c>
      <c r="H24" s="26">
        <f>F24*G24</f>
        <v>6.992</v>
      </c>
      <c r="I24" s="48" t="s">
        <v>14</v>
      </c>
      <c r="J24" s="35" t="s">
        <v>184</v>
      </c>
      <c r="K24" s="33"/>
    </row>
    <row r="25" spans="2:11" ht="15" customHeight="1" x14ac:dyDescent="0.25">
      <c r="B25" s="5" t="s">
        <v>204</v>
      </c>
      <c r="C25" s="1" t="s">
        <v>206</v>
      </c>
      <c r="D25" s="1" t="s">
        <v>12</v>
      </c>
      <c r="E25" s="3"/>
      <c r="F25" s="49">
        <v>1</v>
      </c>
      <c r="G25" s="26">
        <v>21.92</v>
      </c>
      <c r="H25" s="26">
        <f>F25*G25</f>
        <v>21.92</v>
      </c>
      <c r="I25" s="48" t="s">
        <v>14</v>
      </c>
      <c r="J25" s="35" t="s">
        <v>205</v>
      </c>
      <c r="K25" s="33"/>
    </row>
    <row r="26" spans="2:11" ht="14.25" customHeight="1" x14ac:dyDescent="0.25">
      <c r="B26" s="4" t="s">
        <v>185</v>
      </c>
      <c r="C26" s="1" t="s">
        <v>186</v>
      </c>
      <c r="D26" s="1" t="s">
        <v>12</v>
      </c>
      <c r="E26" s="3"/>
      <c r="F26" s="32">
        <v>8</v>
      </c>
      <c r="G26" s="26">
        <f>10.45/50</f>
        <v>0.20899999999999999</v>
      </c>
      <c r="H26" s="26">
        <f t="shared" si="0"/>
        <v>1.6719999999999999</v>
      </c>
      <c r="I26" s="32" t="s">
        <v>14</v>
      </c>
      <c r="J26" s="35" t="s">
        <v>187</v>
      </c>
      <c r="K26" s="1"/>
    </row>
    <row r="27" spans="2:11" ht="14.25" customHeight="1" x14ac:dyDescent="0.25">
      <c r="B27" s="5" t="s">
        <v>188</v>
      </c>
      <c r="C27" s="1" t="s">
        <v>189</v>
      </c>
      <c r="D27" s="1" t="s">
        <v>12</v>
      </c>
      <c r="E27" s="3"/>
      <c r="F27" s="63">
        <v>1</v>
      </c>
      <c r="G27" s="74">
        <v>38.799999999999997</v>
      </c>
      <c r="H27" s="72">
        <f t="shared" si="0"/>
        <v>38.799999999999997</v>
      </c>
      <c r="I27" s="63" t="s">
        <v>220</v>
      </c>
      <c r="J27" s="69" t="s">
        <v>219</v>
      </c>
      <c r="K27" s="66" t="s">
        <v>218</v>
      </c>
    </row>
    <row r="28" spans="2:11" ht="14.25" customHeight="1" x14ac:dyDescent="0.25">
      <c r="B28" s="5" t="s">
        <v>190</v>
      </c>
      <c r="C28" s="1" t="s">
        <v>189</v>
      </c>
      <c r="D28" s="1" t="s">
        <v>12</v>
      </c>
      <c r="E28" s="3"/>
      <c r="F28" s="64"/>
      <c r="G28" s="75"/>
      <c r="H28" s="73"/>
      <c r="I28" s="64"/>
      <c r="J28" s="70"/>
      <c r="K28" s="67"/>
    </row>
    <row r="29" spans="2:11" ht="14.25" customHeight="1" x14ac:dyDescent="0.25">
      <c r="B29" s="5" t="s">
        <v>191</v>
      </c>
      <c r="C29" s="1" t="s">
        <v>189</v>
      </c>
      <c r="D29" s="1" t="s">
        <v>12</v>
      </c>
      <c r="E29" s="3"/>
      <c r="F29" s="64"/>
      <c r="G29" s="75"/>
      <c r="H29" s="73"/>
      <c r="I29" s="64"/>
      <c r="J29" s="70"/>
      <c r="K29" s="67"/>
    </row>
    <row r="30" spans="2:11" ht="14.25" customHeight="1" x14ac:dyDescent="0.25">
      <c r="B30" s="5" t="s">
        <v>192</v>
      </c>
      <c r="C30" s="1" t="s">
        <v>189</v>
      </c>
      <c r="D30" s="1" t="s">
        <v>12</v>
      </c>
      <c r="E30" s="3"/>
      <c r="F30" s="64"/>
      <c r="G30" s="75"/>
      <c r="H30" s="73"/>
      <c r="I30" s="64"/>
      <c r="J30" s="70"/>
      <c r="K30" s="67"/>
    </row>
    <row r="31" spans="2:11" ht="14.25" customHeight="1" x14ac:dyDescent="0.25">
      <c r="B31" s="5" t="s">
        <v>193</v>
      </c>
      <c r="C31" s="1" t="s">
        <v>189</v>
      </c>
      <c r="D31" s="1" t="s">
        <v>12</v>
      </c>
      <c r="E31" s="3"/>
      <c r="F31" s="64"/>
      <c r="G31" s="75"/>
      <c r="H31" s="73"/>
      <c r="I31" s="64"/>
      <c r="J31" s="70"/>
      <c r="K31" s="67"/>
    </row>
    <row r="32" spans="2:11" ht="14.25" customHeight="1" x14ac:dyDescent="0.25">
      <c r="B32" s="5" t="s">
        <v>194</v>
      </c>
      <c r="C32" s="1" t="s">
        <v>189</v>
      </c>
      <c r="D32" s="1" t="s">
        <v>12</v>
      </c>
      <c r="E32" s="3"/>
      <c r="F32" s="64"/>
      <c r="G32" s="75"/>
      <c r="H32" s="73"/>
      <c r="I32" s="64"/>
      <c r="J32" s="70"/>
      <c r="K32" s="67"/>
    </row>
    <row r="33" spans="2:11" ht="14.25" customHeight="1" x14ac:dyDescent="0.25">
      <c r="B33" s="5" t="s">
        <v>195</v>
      </c>
      <c r="C33" s="1" t="s">
        <v>189</v>
      </c>
      <c r="D33" s="1" t="s">
        <v>12</v>
      </c>
      <c r="E33" s="3"/>
      <c r="F33" s="64"/>
      <c r="G33" s="75"/>
      <c r="H33" s="73"/>
      <c r="I33" s="64"/>
      <c r="J33" s="70"/>
      <c r="K33" s="67"/>
    </row>
    <row r="34" spans="2:11" ht="14.25" customHeight="1" x14ac:dyDescent="0.25">
      <c r="B34" s="5" t="s">
        <v>196</v>
      </c>
      <c r="C34" s="1" t="s">
        <v>189</v>
      </c>
      <c r="D34" s="1" t="s">
        <v>12</v>
      </c>
      <c r="E34" s="3"/>
      <c r="F34" s="64"/>
      <c r="G34" s="75"/>
      <c r="H34" s="73"/>
      <c r="I34" s="64"/>
      <c r="J34" s="70"/>
      <c r="K34" s="67"/>
    </row>
    <row r="35" spans="2:11" ht="14.25" customHeight="1" x14ac:dyDescent="0.25">
      <c r="B35" s="5" t="s">
        <v>197</v>
      </c>
      <c r="C35" s="1" t="s">
        <v>189</v>
      </c>
      <c r="D35" s="1" t="s">
        <v>12</v>
      </c>
      <c r="E35" s="3"/>
      <c r="F35" s="64"/>
      <c r="G35" s="75"/>
      <c r="H35" s="73"/>
      <c r="I35" s="64"/>
      <c r="J35" s="70"/>
      <c r="K35" s="67"/>
    </row>
    <row r="36" spans="2:11" ht="14.25" customHeight="1" x14ac:dyDescent="0.25">
      <c r="B36" s="5" t="s">
        <v>198</v>
      </c>
      <c r="C36" s="1" t="s">
        <v>189</v>
      </c>
      <c r="D36" s="1" t="s">
        <v>12</v>
      </c>
      <c r="E36" s="3"/>
      <c r="F36" s="64"/>
      <c r="G36" s="75"/>
      <c r="H36" s="73"/>
      <c r="I36" s="64"/>
      <c r="J36" s="70"/>
      <c r="K36" s="67"/>
    </row>
    <row r="37" spans="2:11" ht="14.25" customHeight="1" x14ac:dyDescent="0.25">
      <c r="B37" s="5" t="s">
        <v>199</v>
      </c>
      <c r="C37" s="1" t="s">
        <v>189</v>
      </c>
      <c r="D37" s="1" t="s">
        <v>12</v>
      </c>
      <c r="E37" s="3"/>
      <c r="F37" s="65"/>
      <c r="G37" s="76"/>
      <c r="H37" s="27"/>
      <c r="I37" s="65"/>
      <c r="J37" s="71"/>
      <c r="K37" s="68"/>
    </row>
    <row r="38" spans="2:11" ht="14.25" customHeight="1" x14ac:dyDescent="0.25">
      <c r="B38" s="5"/>
      <c r="C38" s="1"/>
      <c r="D38" s="1"/>
      <c r="E38" s="3"/>
      <c r="F38" s="32"/>
      <c r="G38" s="26"/>
      <c r="H38" s="26"/>
      <c r="I38" s="32"/>
      <c r="J38" s="34"/>
      <c r="K38" s="1"/>
    </row>
    <row r="39" spans="2:11" ht="14.25" customHeight="1" x14ac:dyDescent="0.25">
      <c r="B39" s="5"/>
      <c r="C39" s="1"/>
      <c r="D39" s="1"/>
      <c r="E39" s="1"/>
      <c r="F39" s="36"/>
      <c r="G39" s="50"/>
      <c r="H39" s="51"/>
      <c r="I39" s="36"/>
      <c r="J39" s="37"/>
      <c r="K39" s="1"/>
    </row>
    <row r="41" spans="2:11" ht="14.25" customHeight="1" x14ac:dyDescent="0.25">
      <c r="G41" s="13" t="s">
        <v>93</v>
      </c>
      <c r="H41" s="28">
        <f>SUM(H3:H39)</f>
        <v>164.24272000000002</v>
      </c>
    </row>
    <row r="47" spans="2:11" ht="14.25" customHeight="1" x14ac:dyDescent="0.25">
      <c r="F47" s="14"/>
    </row>
    <row r="49" spans="2:2" ht="14.25" customHeight="1" x14ac:dyDescent="0.25">
      <c r="B49" t="s">
        <v>203</v>
      </c>
    </row>
  </sheetData>
  <mergeCells count="15">
    <mergeCell ref="G3:G4"/>
    <mergeCell ref="H3:H4"/>
    <mergeCell ref="I3:I4"/>
    <mergeCell ref="J3:J4"/>
    <mergeCell ref="F5:F7"/>
    <mergeCell ref="G5:G7"/>
    <mergeCell ref="H5:H7"/>
    <mergeCell ref="J5:J7"/>
    <mergeCell ref="I5:I7"/>
    <mergeCell ref="F27:F37"/>
    <mergeCell ref="K27:K37"/>
    <mergeCell ref="J27:J37"/>
    <mergeCell ref="I27:I37"/>
    <mergeCell ref="H27:H37"/>
    <mergeCell ref="G27:G37"/>
  </mergeCells>
  <phoneticPr fontId="0" type="noConversion"/>
  <hyperlinks>
    <hyperlink ref="J5" r:id="rId1" xr:uid="{2C5A6D8F-B801-4AC3-BE12-B474E3F84965}"/>
    <hyperlink ref="J3" r:id="rId2" xr:uid="{7B1BBBFE-8FC3-4E01-9942-26BDC72D49C3}"/>
    <hyperlink ref="J27" r:id="rId3" xr:uid="{C80D0F4B-9266-4D64-B9EF-CE586410BCBF}"/>
  </hyperlinks>
  <pageMargins left="0.75" right="0.75" top="0.75" bottom="0.75" header="0.25" footer="0.2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5"/>
  <sheetViews>
    <sheetView workbookViewId="0">
      <selection activeCell="D11" sqref="D11"/>
    </sheetView>
  </sheetViews>
  <sheetFormatPr baseColWidth="10" defaultColWidth="9.140625" defaultRowHeight="14.25" customHeight="1" x14ac:dyDescent="0.25"/>
  <cols>
    <col min="2" max="2" width="14.140625" customWidth="1"/>
    <col min="3" max="3" width="9.42578125" customWidth="1"/>
  </cols>
  <sheetData>
    <row r="2" spans="2:3" ht="20.25" customHeight="1" x14ac:dyDescent="0.25">
      <c r="B2" s="24" t="s">
        <v>200</v>
      </c>
      <c r="C2" s="38">
        <f>PCB_comp!H26</f>
        <v>32.832000000000008</v>
      </c>
    </row>
    <row r="3" spans="2:3" ht="20.25" customHeight="1" x14ac:dyDescent="0.25">
      <c r="B3" s="25" t="s">
        <v>201</v>
      </c>
      <c r="C3" s="39">
        <f>ELEC_comp!H29</f>
        <v>232.25099999999958</v>
      </c>
    </row>
    <row r="4" spans="2:3" ht="20.25" customHeight="1" x14ac:dyDescent="0.25">
      <c r="B4" s="25" t="s">
        <v>202</v>
      </c>
      <c r="C4" s="39">
        <f>MECHA_comp!H41</f>
        <v>164.24272000000002</v>
      </c>
    </row>
    <row r="5" spans="2:3" ht="14.25" customHeight="1" x14ac:dyDescent="0.25">
      <c r="B5" s="13" t="s">
        <v>93</v>
      </c>
      <c r="C5" s="28">
        <f>SUM(C2:C4)</f>
        <v>429.32571999999959</v>
      </c>
    </row>
  </sheetData>
  <phoneticPr fontId="0" type="noConversion"/>
  <pageMargins left="0.75" right="0.75" top="0.75" bottom="0.75" header="0.25" footer="0.2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PCB_comp</vt:lpstr>
      <vt:lpstr>ELEC_comp</vt:lpstr>
      <vt:lpstr>MECHA_comp</vt:lpstr>
      <vt:lpstr>TOTAL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SERRA Teo</cp:lastModifiedBy>
  <dcterms:created xsi:type="dcterms:W3CDTF">2026-03-03T09:35:33Z</dcterms:created>
  <dcterms:modified xsi:type="dcterms:W3CDTF">2026-03-25T12:24:30Z</dcterms:modified>
</cp:coreProperties>
</file>