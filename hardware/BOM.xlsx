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o\Documents\SynologyDrive\Obsidian_COSMIC\01_Développement\1_Générateur\HVGene_OpenHardware_repo\hardware\"/>
    </mc:Choice>
  </mc:AlternateContent>
  <xr:revisionPtr revIDLastSave="0" documentId="13_ncr:1_{94657B12-DEE8-4F1F-96D2-BF909A7EB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definedNames>
    <definedName name="_xlnm._FilterDatabase" localSheetId="0" hidden="1">BOM!$A$1:$K$87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1" l="1"/>
</calcChain>
</file>

<file path=xl/sharedStrings.xml><?xml version="1.0" encoding="utf-8"?>
<sst xmlns="http://schemas.openxmlformats.org/spreadsheetml/2006/main" count="525" uniqueCount="301">
  <si>
    <t>Category</t>
  </si>
  <si>
    <t>Designator</t>
  </si>
  <si>
    <t>Part</t>
  </si>
  <si>
    <t>Value</t>
  </si>
  <si>
    <t>Component / Ref.</t>
  </si>
  <si>
    <t>Qty</t>
  </si>
  <si>
    <t>Unit cost</t>
  </si>
  <si>
    <t>Total cost</t>
  </si>
  <si>
    <t>Supplier</t>
  </si>
  <si>
    <t>Source of materials</t>
  </si>
  <si>
    <t>Notes</t>
  </si>
  <si>
    <t>PCB</t>
  </si>
  <si>
    <t>U1</t>
  </si>
  <si>
    <t>MicroC</t>
  </si>
  <si>
    <t>Seeed Studio XIAO RP2040</t>
  </si>
  <si>
    <t>RS</t>
  </si>
  <si>
    <t>https://befr.rs-online.com/web/p/arduino-compatible-boards-kits/2500966</t>
  </si>
  <si>
    <t>U2, U3</t>
  </si>
  <si>
    <t>IC</t>
  </si>
  <si>
    <t>MCP1416T-E/OT</t>
  </si>
  <si>
    <t>Mouser</t>
  </si>
  <si>
    <t>https://www.mouser.be/ProductDetail/Microchip-Technology/MCP1416T-E-OT?qs=hH%252BOa0VZEiBT%252BgAjATFU6A%3D%3D</t>
  </si>
  <si>
    <t>IC1</t>
  </si>
  <si>
    <t>LM2574-5.0YN</t>
  </si>
  <si>
    <t>https://www.mouser.be/ProductDetail/Microchip-Technology/LM2574-5.0YN?qs=kh6iOki%2FeLG8tRVzGWSPaw%3D%3D</t>
  </si>
  <si>
    <t>Q1, Q2</t>
  </si>
  <si>
    <t>MOSFET</t>
  </si>
  <si>
    <t>IRFI4321PBF</t>
  </si>
  <si>
    <t>https://www.mouser.be/ProductDetail/Infineon-Technologies/IRFI4321PBF?qs=9%252BKlkBgLFf1U%252BCGUGLBmvA%3D%3D</t>
  </si>
  <si>
    <t>D1, D2</t>
  </si>
  <si>
    <t>Diode</t>
  </si>
  <si>
    <t>UF4005</t>
  </si>
  <si>
    <t>https://www.mouser.be/ProductDetail/Diotec-Semiconductor/UF4005?qs=OlC7AqGiEDkmzrSpAlXJ9Q%3D%3D</t>
  </si>
  <si>
    <t>D3</t>
  </si>
  <si>
    <t>SB160-E3/54</t>
  </si>
  <si>
    <t>https://www.mouser.be/ProductDetail/Vishay-General-Semiconductor/SB160-E3-54?qs=u91jd7aysvPQGAQKmVmbIA%3D%3D</t>
  </si>
  <si>
    <t>R1, R2</t>
  </si>
  <si>
    <t>Resistor</t>
  </si>
  <si>
    <t>100 KOhm</t>
  </si>
  <si>
    <t>FMP300FRF73-100K</t>
  </si>
  <si>
    <t>https://www.mouser.be/ProductDetail/YAGEO/FMP300FRF73-100K?qs=sGAEpiMZZMtlubZbdhIBIF%2FGnnak3iO4jCmQasHVweQ%3D</t>
  </si>
  <si>
    <t>R3, R4</t>
  </si>
  <si>
    <t>47 KOhm</t>
  </si>
  <si>
    <t>LR1F47K</t>
  </si>
  <si>
    <t>https://www.mouser.be/ProductDetail/TE-Connectivity-Holsworthy/LR1F47K?qs=sGAEpiMZZMtlubZbdhIBIFho3SHfDXStgXkWbW4sCW8%3D</t>
  </si>
  <si>
    <t>C1, C2</t>
  </si>
  <si>
    <t>Capacitor</t>
  </si>
  <si>
    <t>0,01 uF</t>
  </si>
  <si>
    <t>RDER73A103K2K1H03B</t>
  </si>
  <si>
    <t>https://www.mouser.be/ProductDetail/Murata-Electronics/RDER73A103K2K1H03B?qs=sGAEpiMZZMsh%252B1woXyUXjwuZcO7kv9IeGoxVbAsCJAw%3D</t>
  </si>
  <si>
    <t>C3, C5</t>
  </si>
  <si>
    <t>0,1 uF</t>
  </si>
  <si>
    <t>K104K15X7RF5WH5</t>
  </si>
  <si>
    <t>https://www.mouser.be/ProductDetail/Vishay-BC-Components/K104K15X7RF5WH5?qs=8fb2TFeI5qGYDjl7%252BWZxcg%3D%3D</t>
  </si>
  <si>
    <t>C4, C6</t>
  </si>
  <si>
    <t>1 uF</t>
  </si>
  <si>
    <t>FG28X7R1E105KRT00</t>
  </si>
  <si>
    <t>https://www.mouser.be/ProductDetail/TDK/FG28X7R1E105KRT00?qs=vNwBHymccZ9WlwKQSeNEkg%3D%3D</t>
  </si>
  <si>
    <t>C7</t>
  </si>
  <si>
    <t>10 uF</t>
  </si>
  <si>
    <t>FK24X5R1A106K</t>
  </si>
  <si>
    <t>https://www.mouser.be/ProductDetail/TDK/FK24X5R1A106K?qs=zLBlM7QTTNplmyxmjYlQjw%3D%3D</t>
  </si>
  <si>
    <t>C8</t>
  </si>
  <si>
    <t>22 uF</t>
  </si>
  <si>
    <t>860020672011</t>
  </si>
  <si>
    <t>https://www.mouser.be/ProductDetail/Wurth-Elektronik/860020672011?qs=0KOYDY2FL2%2FKkbEhyek4UA%3D%3D</t>
  </si>
  <si>
    <t>C9</t>
  </si>
  <si>
    <t>220 uF</t>
  </si>
  <si>
    <t>ESH227M050AH1AA</t>
  </si>
  <si>
    <t>https://www.mouser.be/ProductDetail/KEMET/ESH227M050AH1AA?qs=w9hhVRgtvfmnb2YOvt619g%3D%3D</t>
  </si>
  <si>
    <t>L1</t>
  </si>
  <si>
    <t>Inductor</t>
  </si>
  <si>
    <t>330 uH</t>
  </si>
  <si>
    <t>7447471331</t>
  </si>
  <si>
    <t>https://www.mouser.be/ProductDetail/Wurth-Elektronik/7447471331?qs=VxkwJfKV0FSJeL%252B3Zn%2FUiQ%3D%3D</t>
  </si>
  <si>
    <t>JP1</t>
  </si>
  <si>
    <t>Jumper</t>
  </si>
  <si>
    <t>60900213421</t>
  </si>
  <si>
    <t>https://www.mouser.be/ProductDetail/Wurth-Elektronik/60900213421?qs=W%252B2sBeLta1bsO5t19%2FBN7Q%3D%3D</t>
  </si>
  <si>
    <t>J1, J2</t>
  </si>
  <si>
    <t>Connector</t>
  </si>
  <si>
    <t>RS PRO, 2 Way, 1 Row, Right Angle PCB Terminal Block Header</t>
  </si>
  <si>
    <t>https://befr.rs-online.com/web/p/pluggable-terminal-blocks/8971262</t>
  </si>
  <si>
    <t>J3</t>
  </si>
  <si>
    <t>RS 5.08mm Horizontal PCB Terminal Block Headers</t>
  </si>
  <si>
    <t>https://befr.rs-online.com/web/p/pcb-headers/8971266</t>
  </si>
  <si>
    <t>J4, J6</t>
  </si>
  <si>
    <t>JST XH Straight, 6 pin 1 Row, 2.5 mm, male</t>
  </si>
  <si>
    <t>https://befr.rs-online.com/web/p/pcb-headers/7495228</t>
  </si>
  <si>
    <t>J5</t>
  </si>
  <si>
    <t>JST XH Straight, 4 pin 1 Row, 2.5 mm, male</t>
  </si>
  <si>
    <t>https://befr.rs-online.com/web/p/pcb-headers/1755445</t>
  </si>
  <si>
    <t>J7</t>
  </si>
  <si>
    <t>JST XH Straight, 2 pin 1 Row, 2.5 mm, male</t>
  </si>
  <si>
    <t>https://befr.rs-online.com/web/p/pcb-headers/1755499</t>
  </si>
  <si>
    <t>J8, J9</t>
  </si>
  <si>
    <t>JST XH Straight, 3 pin 1 Row, 2.5 mm, male</t>
  </si>
  <si>
    <t>https://befr.rs-online.com/web/p/pcb-headers/1755529</t>
  </si>
  <si>
    <t>Electrical</t>
  </si>
  <si>
    <t>Custom PCB</t>
  </si>
  <si>
    <t>HVGene inverter/control PCB, bare board (JLCPCB order, KiCAD Gerbers)</t>
  </si>
  <si>
    <t>JLCPCB</t>
  </si>
  <si>
    <t>https://jlcpcb.com/</t>
  </si>
  <si>
    <t>LCD_SCREEN</t>
  </si>
  <si>
    <t>UI_Screen</t>
  </si>
  <si>
    <t>NHD-0420D3Z-FL-GBW-V3</t>
  </si>
  <si>
    <t>https://www.mouser.be/ProductDetail/Newhaven-Display/NHD-0420D3Z-FL-GBW-V3?qs=qFF%252BBcFBHba4i0K1fcOqkw%3D%3D</t>
  </si>
  <si>
    <t>BUCK_MODULE</t>
  </si>
  <si>
    <t>Voltage Regulator</t>
  </si>
  <si>
    <t>Adjustable CNC buck power-supply module (EC-Buying), 50 V / 20 A max (vendor ratings), controller IC marked CDFM10, with separate LCD control board</t>
  </si>
  <si>
    <t>EC-buying - Amazon</t>
  </si>
  <si>
    <t>https://www.amazon.com/dp/B0B38GYF74</t>
  </si>
  <si>
    <t>Controller IC carries only a vendor marking (CDFM10), no published datasheet; ratings as stated by vendor</t>
  </si>
  <si>
    <t>LCD_BUCK_MODULE</t>
  </si>
  <si>
    <t>Bundled with BUCK_MODULE purchase (single module, two boards)</t>
  </si>
  <si>
    <t>FAN_80mm</t>
  </si>
  <si>
    <t>Fan</t>
  </si>
  <si>
    <t>CFM-8025V-232-330</t>
  </si>
  <si>
    <t>https://www.mouser.be/ProductDetail/Same-Sky/CFM-8025V-232-330?qs=sGAEpiMZZMvSSTL2X48Ff4Ftyd9l%2FTClTwxHw8WdfmAHX475vgXsAw%3D%3D</t>
  </si>
  <si>
    <t>TXH_240-124</t>
  </si>
  <si>
    <t>DC Power Supply</t>
  </si>
  <si>
    <t>TXH 240-124</t>
  </si>
  <si>
    <t>https://www.mouser.be/ProductDetail/TRACO-Power/TXH-240-124?qs=ckJk83FOD0UI9bpkOG0QEg%3D%3D</t>
  </si>
  <si>
    <t>TRANSFO</t>
  </si>
  <si>
    <t>Transformer</t>
  </si>
  <si>
    <t>HF 15kV AC transformer</t>
  </si>
  <si>
    <t>Highvoltageshop</t>
  </si>
  <si>
    <t>https://highvoltageshop.com/epages/b73088c0-9f9a-4230-9ffc-4fd5c619abc4.sf/de_DE/?ObjectPath=/Shops/b73088c0-9f9a-4230-9ffc-4fd5c619abc4/Products/TRANSHF_15KVAC</t>
  </si>
  <si>
    <t>ROT_ENCODER</t>
  </si>
  <si>
    <t>UI_Command</t>
  </si>
  <si>
    <t>M5Stack U135</t>
  </si>
  <si>
    <t>https://www.mouser.be/ProductDetail/M5Stack/U135?qs=Li%252BoUPsLEnstnDfPQNf5Rw%3D%3D</t>
  </si>
  <si>
    <t>ROT_ENCODER_CBL</t>
  </si>
  <si>
    <t>Cable</t>
  </si>
  <si>
    <t>Cable supplied with ROT_ENCODER; no separate purchase</t>
  </si>
  <si>
    <t>CON_POWER</t>
  </si>
  <si>
    <t>IEC power connector</t>
  </si>
  <si>
    <t>https://befr.rs-online.com/web/p/iec-connectors/8703271</t>
  </si>
  <si>
    <t>FUSE_HOLDER</t>
  </si>
  <si>
    <t>Fuse Holder</t>
  </si>
  <si>
    <t>fuse holder</t>
  </si>
  <si>
    <t>https://befr.rs-online.com/web/p/fuse-holders/5006211?gb=s</t>
  </si>
  <si>
    <t>Grouped with CON_POWER in CAD sub-assembly; purchased separately</t>
  </si>
  <si>
    <t>FUSE</t>
  </si>
  <si>
    <t>Fuse</t>
  </si>
  <si>
    <t>cartridge fuse</t>
  </si>
  <si>
    <t>https://befr.rs-online.com/web/p/cartridge-fuses/6686007</t>
  </si>
  <si>
    <t>BAN_CON_BLK</t>
  </si>
  <si>
    <t>binding post, black</t>
  </si>
  <si>
    <t>https://befr.rs-online.com/web/p/binding-posts/0738345</t>
  </si>
  <si>
    <t>BAN_CON_RED</t>
  </si>
  <si>
    <t>binding post, red</t>
  </si>
  <si>
    <t>https://befr.rs-online.com/web/p/binding-posts/0738351</t>
  </si>
  <si>
    <t>JST_6PIN_MALE</t>
  </si>
  <si>
    <t>JST_6PIN_FEM</t>
  </si>
  <si>
    <t>JST XH Straight, 6 pin 1 Row, 2.5 mm, female</t>
  </si>
  <si>
    <t>https://befr.rs-online.com/web/p/wire-housings-plugs/8201620</t>
  </si>
  <si>
    <t>JST_4PIN_FEM</t>
  </si>
  <si>
    <t>JST XH Straight, 4 pin 1 Row, 2.5 mm, female</t>
  </si>
  <si>
    <t>https://befr.rs-online.com/web/p/wire-housings-plugs/8201618</t>
  </si>
  <si>
    <t>JST_3PIN_FEM</t>
  </si>
  <si>
    <t>JST XH Straight, 3 pin 1 Row, 2.5 mm, female</t>
  </si>
  <si>
    <t>https://befr.rs-online.com/web/p/wire-housings-plugs/8201614</t>
  </si>
  <si>
    <t>WAGO_5W</t>
  </si>
  <si>
    <t>/</t>
  </si>
  <si>
    <t>WAGO 221-415, 5-way lever connector, 0.2-4mm2 (24-12 AWG), 32A</t>
  </si>
  <si>
    <t>https://befr.rs-online.com/web/p/splice-connectors/8837557/</t>
  </si>
  <si>
    <t>CRIMP_JST</t>
  </si>
  <si>
    <t>Crimp</t>
  </si>
  <si>
    <t>crimp contact for JST XH</t>
  </si>
  <si>
    <t>https://befr.rs-online.com/web/p/crimp-contacts/1235947</t>
  </si>
  <si>
    <t>CRIMP_SPADE</t>
  </si>
  <si>
    <t>spade connector</t>
  </si>
  <si>
    <t>https://benl.rs-online.com/web/p/spade-connectors/1788311</t>
  </si>
  <si>
    <t>CRIMP_RING</t>
  </si>
  <si>
    <t>ring terminal</t>
  </si>
  <si>
    <t>https://benl.rs-online.com/web/p/ring-terminals/6139508</t>
  </si>
  <si>
    <t>TERM_BLOCK_3POS_M</t>
  </si>
  <si>
    <t>pluggable terminal block, 3 pos, male</t>
  </si>
  <si>
    <t>https://befr.rs-online.com/web/p/pluggable-terminal-blocks/1468337</t>
  </si>
  <si>
    <t>TERM_BLOCK_2POS_F</t>
  </si>
  <si>
    <t>pluggable terminal block, 2 pos, female</t>
  </si>
  <si>
    <t>https://befr.rs-online.com/web/p/pluggable-terminal-blocks/8971219</t>
  </si>
  <si>
    <t>TERM_BLOCK_3POS_F</t>
  </si>
  <si>
    <t>pluggable terminal block, 3 pos, female</t>
  </si>
  <si>
    <t>https://befr.rs-online.com/web/p/pluggable-terminal-blocks/7900705</t>
  </si>
  <si>
    <t>WIRE_MAINS</t>
  </si>
  <si>
    <t>3G0.75 mm²</t>
  </si>
  <si>
    <t>RND H05VV-F 3-core mains cable, 0.75 mm², 300/500 V, 1.5 m (RND 465-00948)</t>
  </si>
  <si>
    <t>https://befr.rs-online.com/web/p/mains-power-cable/2833214</t>
  </si>
  <si>
    <t>CON_POWER to TXH_240-124 (~0.3 m used, cores separated). Sold as 1.5 m length; if unavailable, AXINDUS H05VV-F 3G0.75 (RS 642-629), 61.24 EUR / 50 m reel</t>
  </si>
  <si>
    <t>WIRE_1.5_RED</t>
  </si>
  <si>
    <t>1.5 mm²</t>
  </si>
  <si>
    <t>RS PRO H07V-K hook-up wire, 1.5 mm², red, 750 V (RS 361-822)</t>
  </si>
  <si>
    <t>https://befr.rs-online.com/web/p/hook-up-wire/0361822</t>
  </si>
  <si>
    <t>Qty in metres; 24 V, V_buck and primary links. Priced pro rata: sold by 100 m reel, 92.86 EUR</t>
  </si>
  <si>
    <t>WIRE_1.5_BLK</t>
  </si>
  <si>
    <t>RS PRO H07V-K hook-up wire, 1.5 mm², black, 750 V (RS 361-787)</t>
  </si>
  <si>
    <t>https://befr.rs-online.com/web/p/hook-up-wire/0361787</t>
  </si>
  <si>
    <t>Qty in metres; 0 V returns and primary links. Priced pro rata: sold by 100 m reel, 92.86 EUR</t>
  </si>
  <si>
    <t>WIRE_1.5_GNYE</t>
  </si>
  <si>
    <t>RS PRO H07V-K hook-up wire, 1.5 mm², green/yellow, 750 V (RS 361-816)</t>
  </si>
  <si>
    <t>https://befr.rs-online.com/web/p/hook-up-wire/0361816</t>
  </si>
  <si>
    <t>Qty in metres; five grounding links to WAGO_5W (~0.85 m). Priced pro rata: sold by 100 m reel, 92.86 EUR</t>
  </si>
  <si>
    <t>WIRE_I2C</t>
  </si>
  <si>
    <t>0.22 mm²</t>
  </si>
  <si>
    <t>RS PRO hook-up wire, 0.22 mm² (24 AWG), 7/0.2 mm, grey PVC (RS 208-1123)</t>
  </si>
  <si>
    <t>https://befr.rs-online.com/web/p/hook-up-wire/2081123</t>
  </si>
  <si>
    <t>Qty in metres; LCD_SCREEN I2C cable (4 x ~12 cm). Priced pro rata: sold by 30.5 m reel, 8.99 EUR</t>
  </si>
  <si>
    <t>Mechanical</t>
  </si>
  <si>
    <t>MakerBeam_CUBE_CORNER_10x10x10mm</t>
  </si>
  <si>
    <t>Bracket</t>
  </si>
  <si>
    <t>corner cube, 12p</t>
  </si>
  <si>
    <t>MakerBeam</t>
  </si>
  <si>
    <t>https://www.makerbeam.com/makerbeam-corner-cubes-12p-black-for-makerbeam.html</t>
  </si>
  <si>
    <t>BOLT_CSK_M3_4mm</t>
  </si>
  <si>
    <t>Bolt</t>
  </si>
  <si>
    <t>Bundled with MakerBeam Corner Cubes kit + T-slot nuts kit; no separate purchase</t>
  </si>
  <si>
    <t>MakerBeam_HINGE_AXE</t>
  </si>
  <si>
    <t>Hinge</t>
  </si>
  <si>
    <t>hinge, 8p/4p kit</t>
  </si>
  <si>
    <t>https://www.makerbeam.com/makerbeam-hinges-for-makerbeam-8p-4p.html</t>
  </si>
  <si>
    <t>MakerBeam_HINGE_LOCKNUT</t>
  </si>
  <si>
    <t>Bundled with MakerBeam_HINGE_AXE purchase (single hinge kit: 8 pieces + 4 axes + 4 locknuts)</t>
  </si>
  <si>
    <t>MakerBeam_HINGE_PIECE</t>
  </si>
  <si>
    <t>MakerBeam_PROFILE_10x10x40mm</t>
  </si>
  <si>
    <t>Profile</t>
  </si>
  <si>
    <t>40mm profile, 8p</t>
  </si>
  <si>
    <t>https://www.makerbeam.com/makerbeam-40mm-8p-black-makerbeam.html</t>
  </si>
  <si>
    <t>MakerBeam_PROFILE_10x10x100mm</t>
  </si>
  <si>
    <t>100mm profile, 16p</t>
  </si>
  <si>
    <t>https://www.makerbeam.com/makerbeam-100mm-16p-black-makerbeam.html</t>
  </si>
  <si>
    <t>MakerBeam_PROFILE_10x10x150mm</t>
  </si>
  <si>
    <t>150mm profile, 6p</t>
  </si>
  <si>
    <t>https://www.makerbeam.com/makerbeam-150mm-6p-black-makerbeam.html</t>
  </si>
  <si>
    <t>MakerBeam_PROFILE_10x10x200mm</t>
  </si>
  <si>
    <t>200mm profile, 8p</t>
  </si>
  <si>
    <t>https://www.makerbeam.com/makerbeam-200mm-8p-black-makerbeam.html</t>
  </si>
  <si>
    <t>MakerBeam_TNUT_10x10mm</t>
  </si>
  <si>
    <t>Nut</t>
  </si>
  <si>
    <t>T-slot nut, 25p</t>
  </si>
  <si>
    <t>https://www.makerbeam.com/makerbeam-t-slot-nuts-for-makerbeam-25p.html</t>
  </si>
  <si>
    <t>NUT_M1.6</t>
  </si>
  <si>
    <t>hex nut M1.6</t>
  </si>
  <si>
    <t>https://befr.rs-online.com/web/p/hex-nuts/1795726</t>
  </si>
  <si>
    <t>NUT_M3</t>
  </si>
  <si>
    <t>nut, regular, 250p</t>
  </si>
  <si>
    <t>https://www.makerbeam.com/makerbeam-nuts-regular-250p.html</t>
  </si>
  <si>
    <t>NUT_M4</t>
  </si>
  <si>
    <t>hex nut M4</t>
  </si>
  <si>
    <t>https://befr.rs-online.com/web/p/hex-nuts/0527252</t>
  </si>
  <si>
    <t>NUT_M5</t>
  </si>
  <si>
    <t>hex nut M5</t>
  </si>
  <si>
    <t>https://benl.rs-online.com/web/p/hex-nuts/2874065</t>
  </si>
  <si>
    <t>BOLT_CSK_M3_8mm</t>
  </si>
  <si>
    <t>socket screw M3x8</t>
  </si>
  <si>
    <t>https://befr.rs-online.com/web/p/socket-screws/3044918</t>
  </si>
  <si>
    <t>BOLT_BHSCS_M3_4mm</t>
  </si>
  <si>
    <t>Bundled with MakerBeam T-slot nuts kit (TNUT_10x10mm); no separate purchase</t>
  </si>
  <si>
    <t>BOLT_SHCS_M3_16mm</t>
  </si>
  <si>
    <t>socket screw M3x16</t>
  </si>
  <si>
    <t>https://befr.rs-online.com/web/p/socket-screws/1871235</t>
  </si>
  <si>
    <t>BOLT_SHCS_M1.6_12mm</t>
  </si>
  <si>
    <t>socket screw M1.6x12</t>
  </si>
  <si>
    <t>https://befr.rs-online.com/web/p/socket-screws/0281007</t>
  </si>
  <si>
    <t>BOLT_SHCS_M4_12mm</t>
  </si>
  <si>
    <t>socket screw M4x12</t>
  </si>
  <si>
    <t>https://befr.rs-online.com/web/p/socket-screws/4679880</t>
  </si>
  <si>
    <t>BOLT_BHSCS_M5_16mm</t>
  </si>
  <si>
    <t>socket screw M5x16</t>
  </si>
  <si>
    <t>https://befr.rs-online.com/web/p/socket-screws/1838698</t>
  </si>
  <si>
    <t>HEATSINK</t>
  </si>
  <si>
    <t>MOSFET heatsink</t>
  </si>
  <si>
    <t>heatsink</t>
  </si>
  <si>
    <t>https://befr.rs-online.com/web/p/heatsinks/7124295</t>
  </si>
  <si>
    <t>THERMAL_PASTE</t>
  </si>
  <si>
    <t>MOSFET thermal paste</t>
  </si>
  <si>
    <t>thermal grease</t>
  </si>
  <si>
    <t>https://befr.rs-online.com/web/p/thermal-grease/1938248</t>
  </si>
  <si>
    <t>STANDOFF_M3_5mm</t>
  </si>
  <si>
    <t>Standoff</t>
  </si>
  <si>
    <t>standoff M3x5</t>
  </si>
  <si>
    <t>https://befr.rs-online.com/web/p/standoffs/8066607</t>
  </si>
  <si>
    <t>PLATE_HV_BACK</t>
  </si>
  <si>
    <t>Plate</t>
  </si>
  <si>
    <t>PMMA sheet 100x50cm x3mm</t>
  </si>
  <si>
    <t>Brico</t>
  </si>
  <si>
    <t>https://www.brico.be/fr/menuiserie/planches-plastique-verre-synthetique/verres-synthetiques/scala-plastics-plaque-de-plexi-acrylique-pmma-cristal-100x50cm-x-3mm/2893619</t>
  </si>
  <si>
    <t>PMMA sheet - covers all plates below (11 plates cut from same sheet)</t>
  </si>
  <si>
    <t>PLATE_HV_BOTTOM</t>
  </si>
  <si>
    <t>Cut from the same PMMA sheet as PLATE_HV_BACK</t>
  </si>
  <si>
    <t>PLATE_HV_FRONT</t>
  </si>
  <si>
    <t>PLATE_HV_SIDE</t>
  </si>
  <si>
    <t>PLATE_HV_TOP</t>
  </si>
  <si>
    <t>PLATE_LV_BACK</t>
  </si>
  <si>
    <t>PLATE_LV_BOTTOM</t>
  </si>
  <si>
    <t>PLATE_LV_FRONT</t>
  </si>
  <si>
    <t>PLATE_LV_SIDE</t>
  </si>
  <si>
    <t>PLATE_LV_SIDE_CON</t>
  </si>
  <si>
    <t>PLATE_LV_TOP</t>
  </si>
  <si>
    <t>TOTAL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</si>
</sst>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/>
    <xf numFmtId="164" fontId="1" fillId="0" borderId="2" xfId="0" applyNumberFormat="1" applyFon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4" fontId="0" fillId="0" borderId="3" xfId="0" applyNumberForma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be/ProductDetail/Wurth-Elektronik/860020672011?qs=0KOYDY2FL2%2FKkbEhyek4UA%3D%3D" TargetMode="External"/><Relationship Id="rId18" Type="http://schemas.openxmlformats.org/officeDocument/2006/relationships/hyperlink" Target="https://befr.rs-online.com/web/p/pcb-headers/8971266" TargetMode="External"/><Relationship Id="rId26" Type="http://schemas.openxmlformats.org/officeDocument/2006/relationships/hyperlink" Target="https://www.mouser.be/ProductDetail/Same-Sky/CFM-8025V-232-330?qs=sGAEpiMZZMvSSTL2X48Ff4Ftyd9l%2FTClTwxHw8WdfmAHX475vgXsAw%3D%3D" TargetMode="External"/><Relationship Id="rId39" Type="http://schemas.openxmlformats.org/officeDocument/2006/relationships/hyperlink" Target="https://befr.rs-online.com/web/p/splice-connectors/8837557/" TargetMode="External"/><Relationship Id="rId21" Type="http://schemas.openxmlformats.org/officeDocument/2006/relationships/hyperlink" Target="https://befr.rs-online.com/web/p/pcb-headers/1755499" TargetMode="External"/><Relationship Id="rId34" Type="http://schemas.openxmlformats.org/officeDocument/2006/relationships/hyperlink" Target="https://befr.rs-online.com/web/p/binding-posts/0738351" TargetMode="External"/><Relationship Id="rId42" Type="http://schemas.openxmlformats.org/officeDocument/2006/relationships/hyperlink" Target="https://benl.rs-online.com/web/p/ring-terminals/6139508" TargetMode="External"/><Relationship Id="rId47" Type="http://schemas.openxmlformats.org/officeDocument/2006/relationships/hyperlink" Target="https://www.makerbeam.com/makerbeam-hinges-for-makerbeam-8p-4p.html" TargetMode="External"/><Relationship Id="rId50" Type="http://schemas.openxmlformats.org/officeDocument/2006/relationships/hyperlink" Target="https://befr.rs-online.com/web/p/hex-nuts/1795726" TargetMode="External"/><Relationship Id="rId55" Type="http://schemas.openxmlformats.org/officeDocument/2006/relationships/hyperlink" Target="https://befr.rs-online.com/web/p/socket-screws/1871235" TargetMode="External"/><Relationship Id="rId63" Type="http://schemas.openxmlformats.org/officeDocument/2006/relationships/hyperlink" Target="https://www.makerbeam.com/makerbeam-hinges-for-makerbeam-8p-4p.html" TargetMode="External"/><Relationship Id="rId7" Type="http://schemas.openxmlformats.org/officeDocument/2006/relationships/hyperlink" Target="https://www.mouser.be/ProductDetail/YAGEO/FMP300FRF73-100K?qs=sGAEpiMZZMtlubZbdhIBIF%2FGnnak3iO4jCmQasHVweQ%3D" TargetMode="External"/><Relationship Id="rId2" Type="http://schemas.openxmlformats.org/officeDocument/2006/relationships/hyperlink" Target="https://www.mouser.be/ProductDetail/Microchip-Technology/MCP1416T-E-OT?qs=hH%252BOa0VZEiBT%252BgAjATFU6A%3D%3D" TargetMode="External"/><Relationship Id="rId16" Type="http://schemas.openxmlformats.org/officeDocument/2006/relationships/hyperlink" Target="https://www.mouser.be/ProductDetail/Wurth-Elektronik/60900213421?qs=W%252B2sBeLta1bsO5t19%2FBN7Q%3D%3D" TargetMode="External"/><Relationship Id="rId20" Type="http://schemas.openxmlformats.org/officeDocument/2006/relationships/hyperlink" Target="https://befr.rs-online.com/web/p/pcb-headers/1755445" TargetMode="External"/><Relationship Id="rId29" Type="http://schemas.openxmlformats.org/officeDocument/2006/relationships/hyperlink" Target="https://www.mouser.be/ProductDetail/M5Stack/U135?qs=Li%252BoUPsLEnstnDfPQNf5Rw%3D%3D" TargetMode="External"/><Relationship Id="rId41" Type="http://schemas.openxmlformats.org/officeDocument/2006/relationships/hyperlink" Target="https://benl.rs-online.com/web/p/spade-connectors/1788311" TargetMode="External"/><Relationship Id="rId54" Type="http://schemas.openxmlformats.org/officeDocument/2006/relationships/hyperlink" Target="https://befr.rs-online.com/web/p/socket-screws/3044918" TargetMode="External"/><Relationship Id="rId62" Type="http://schemas.openxmlformats.org/officeDocument/2006/relationships/hyperlink" Target="https://www.makerbeam.com/makerbeam-t-slot-nuts-for-makerbeam-25p.html" TargetMode="External"/><Relationship Id="rId1" Type="http://schemas.openxmlformats.org/officeDocument/2006/relationships/hyperlink" Target="https://befr.rs-online.com/web/p/arduino-compatible-boards-kits/2500966" TargetMode="External"/><Relationship Id="rId6" Type="http://schemas.openxmlformats.org/officeDocument/2006/relationships/hyperlink" Target="https://www.mouser.be/ProductDetail/Vishay-General-Semiconductor/SB160-E3-54?qs=u91jd7aysvPQGAQKmVmbIA%3D%3D" TargetMode="External"/><Relationship Id="rId11" Type="http://schemas.openxmlformats.org/officeDocument/2006/relationships/hyperlink" Target="https://www.mouser.be/ProductDetail/TDK/FG28X7R1E105KRT00?qs=vNwBHymccZ9WlwKQSeNEkg%3D%3D" TargetMode="External"/><Relationship Id="rId24" Type="http://schemas.openxmlformats.org/officeDocument/2006/relationships/hyperlink" Target="https://www.mouser.be/ProductDetail/Newhaven-Display/NHD-0420D3Z-FL-GBW-V3?qs=qFF%252BBcFBHba4i0K1fcOqkw%3D%3D" TargetMode="External"/><Relationship Id="rId32" Type="http://schemas.openxmlformats.org/officeDocument/2006/relationships/hyperlink" Target="https://befr.rs-online.com/web/p/cartridge-fuses/6686007" TargetMode="External"/><Relationship Id="rId37" Type="http://schemas.openxmlformats.org/officeDocument/2006/relationships/hyperlink" Target="https://befr.rs-online.com/web/p/wire-housings-plugs/8201618" TargetMode="External"/><Relationship Id="rId40" Type="http://schemas.openxmlformats.org/officeDocument/2006/relationships/hyperlink" Target="https://befr.rs-online.com/web/p/crimp-contacts/1235947" TargetMode="External"/><Relationship Id="rId45" Type="http://schemas.openxmlformats.org/officeDocument/2006/relationships/hyperlink" Target="https://befr.rs-online.com/web/p/pluggable-terminal-blocks/7900705" TargetMode="External"/><Relationship Id="rId53" Type="http://schemas.openxmlformats.org/officeDocument/2006/relationships/hyperlink" Target="https://benl.rs-online.com/web/p/hex-nuts/2874065" TargetMode="External"/><Relationship Id="rId58" Type="http://schemas.openxmlformats.org/officeDocument/2006/relationships/hyperlink" Target="https://befr.rs-online.com/web/p/socket-screws/1838698" TargetMode="External"/><Relationship Id="rId5" Type="http://schemas.openxmlformats.org/officeDocument/2006/relationships/hyperlink" Target="https://www.mouser.be/ProductDetail/Diotec-Semiconductor/UF4005?qs=OlC7AqGiEDkmzrSpAlXJ9Q%3D%3D" TargetMode="External"/><Relationship Id="rId15" Type="http://schemas.openxmlformats.org/officeDocument/2006/relationships/hyperlink" Target="https://www.mouser.be/ProductDetail/Wurth-Elektronik/7447471331?qs=VxkwJfKV0FSJeL%252B3Zn%2FUiQ%3D%3D" TargetMode="External"/><Relationship Id="rId23" Type="http://schemas.openxmlformats.org/officeDocument/2006/relationships/hyperlink" Target="https://jlcpcb.com/" TargetMode="External"/><Relationship Id="rId28" Type="http://schemas.openxmlformats.org/officeDocument/2006/relationships/hyperlink" Target="https://highvoltageshop.com/epages/b73088c0-9f9a-4230-9ffc-4fd5c619abc4.sf/de_DE/?ObjectPath=/Shops/b73088c0-9f9a-4230-9ffc-4fd5c619abc4/Products/TRANSHF_15KVAC" TargetMode="External"/><Relationship Id="rId36" Type="http://schemas.openxmlformats.org/officeDocument/2006/relationships/hyperlink" Target="https://befr.rs-online.com/web/p/wire-housings-plugs/8201620" TargetMode="External"/><Relationship Id="rId49" Type="http://schemas.openxmlformats.org/officeDocument/2006/relationships/hyperlink" Target="https://www.makerbeam.com/makerbeam-150mm-6p-black-makerbeam.html" TargetMode="External"/><Relationship Id="rId57" Type="http://schemas.openxmlformats.org/officeDocument/2006/relationships/hyperlink" Target="https://befr.rs-online.com/web/p/socket-screws/4679880" TargetMode="External"/><Relationship Id="rId61" Type="http://schemas.openxmlformats.org/officeDocument/2006/relationships/hyperlink" Target="https://www.brico.be/fr/menuiserie/planches-plastique-verre-synthetique/verres-synthetiques/scala-plastics-plaque-de-plexi-acrylique-pmma-cristal-100x50cm-x-3mm/2893619" TargetMode="External"/><Relationship Id="rId10" Type="http://schemas.openxmlformats.org/officeDocument/2006/relationships/hyperlink" Target="https://www.mouser.be/ProductDetail/Vishay-BC-Components/K104K15X7RF5WH5?qs=8fb2TFeI5qGYDjl7%252BWZxcg%3D%3D" TargetMode="External"/><Relationship Id="rId19" Type="http://schemas.openxmlformats.org/officeDocument/2006/relationships/hyperlink" Target="https://befr.rs-online.com/web/p/pcb-headers/7495228" TargetMode="External"/><Relationship Id="rId31" Type="http://schemas.openxmlformats.org/officeDocument/2006/relationships/hyperlink" Target="https://befr.rs-online.com/web/p/fuse-holders/5006211?gb=s" TargetMode="External"/><Relationship Id="rId44" Type="http://schemas.openxmlformats.org/officeDocument/2006/relationships/hyperlink" Target="https://befr.rs-online.com/web/p/pluggable-terminal-blocks/8971219" TargetMode="External"/><Relationship Id="rId52" Type="http://schemas.openxmlformats.org/officeDocument/2006/relationships/hyperlink" Target="https://befr.rs-online.com/web/p/hex-nuts/0527252" TargetMode="External"/><Relationship Id="rId60" Type="http://schemas.openxmlformats.org/officeDocument/2006/relationships/hyperlink" Target="https://befr.rs-online.com/web/p/standoffs/8066607" TargetMode="External"/><Relationship Id="rId65" Type="http://schemas.openxmlformats.org/officeDocument/2006/relationships/hyperlink" Target="https://www.makerbeam.com/makerbeam-t-slot-nuts-for-makerbeam-25p.html" TargetMode="External"/><Relationship Id="rId4" Type="http://schemas.openxmlformats.org/officeDocument/2006/relationships/hyperlink" Target="https://www.mouser.be/ProductDetail/Infineon-Technologies/IRFI4321PBF?qs=9%252BKlkBgLFf1U%252BCGUGLBmvA%3D%3D" TargetMode="External"/><Relationship Id="rId9" Type="http://schemas.openxmlformats.org/officeDocument/2006/relationships/hyperlink" Target="https://www.mouser.be/ProductDetail/Murata-Electronics/RDER73A103K2K1H03B?qs=sGAEpiMZZMsh%252B1woXyUXjwuZcO7kv9IeGoxVbAsCJAw%3D" TargetMode="External"/><Relationship Id="rId14" Type="http://schemas.openxmlformats.org/officeDocument/2006/relationships/hyperlink" Target="https://www.mouser.be/ProductDetail/KEMET/ESH227M050AH1AA?qs=w9hhVRgtvfmnb2YOvt619g%3D%3D" TargetMode="External"/><Relationship Id="rId22" Type="http://schemas.openxmlformats.org/officeDocument/2006/relationships/hyperlink" Target="https://befr.rs-online.com/web/p/pcb-headers/1755529" TargetMode="External"/><Relationship Id="rId27" Type="http://schemas.openxmlformats.org/officeDocument/2006/relationships/hyperlink" Target="https://www.mouser.be/ProductDetail/TRACO-Power/TXH-240-124?qs=ckJk83FOD0UI9bpkOG0QEg%3D%3D" TargetMode="External"/><Relationship Id="rId30" Type="http://schemas.openxmlformats.org/officeDocument/2006/relationships/hyperlink" Target="https://befr.rs-online.com/web/p/iec-connectors/8703271" TargetMode="External"/><Relationship Id="rId35" Type="http://schemas.openxmlformats.org/officeDocument/2006/relationships/hyperlink" Target="https://befr.rs-online.com/web/p/pcb-headers/7495228" TargetMode="External"/><Relationship Id="rId43" Type="http://schemas.openxmlformats.org/officeDocument/2006/relationships/hyperlink" Target="https://befr.rs-online.com/web/p/pluggable-terminal-blocks/1468337" TargetMode="External"/><Relationship Id="rId48" Type="http://schemas.openxmlformats.org/officeDocument/2006/relationships/hyperlink" Target="https://www.makerbeam.com/makerbeam-40mm-8p-black-makerbeam.html" TargetMode="External"/><Relationship Id="rId56" Type="http://schemas.openxmlformats.org/officeDocument/2006/relationships/hyperlink" Target="https://befr.rs-online.com/web/p/socket-screws/0281007" TargetMode="External"/><Relationship Id="rId64" Type="http://schemas.openxmlformats.org/officeDocument/2006/relationships/hyperlink" Target="https://www.makerbeam.com/makerbeam-hinges-for-makerbeam-8p-4p.html" TargetMode="External"/><Relationship Id="rId8" Type="http://schemas.openxmlformats.org/officeDocument/2006/relationships/hyperlink" Target="https://www.mouser.be/ProductDetail/TE-Connectivity-Holsworthy/LR1F47K?qs=sGAEpiMZZMtlubZbdhIBIFho3SHfDXStgXkWbW4sCW8%3D" TargetMode="External"/><Relationship Id="rId51" Type="http://schemas.openxmlformats.org/officeDocument/2006/relationships/hyperlink" Target="https://www.makerbeam.com/makerbeam-nuts-regular-250p.html" TargetMode="External"/><Relationship Id="rId3" Type="http://schemas.openxmlformats.org/officeDocument/2006/relationships/hyperlink" Target="https://www.mouser.be/ProductDetail/Microchip-Technology/LM2574-5.0YN?qs=kh6iOki%2FeLG8tRVzGWSPaw%3D%3D" TargetMode="External"/><Relationship Id="rId12" Type="http://schemas.openxmlformats.org/officeDocument/2006/relationships/hyperlink" Target="https://www.mouser.be/ProductDetail/TDK/FK24X5R1A106K?qs=zLBlM7QTTNplmyxmjYlQjw%3D%3D" TargetMode="External"/><Relationship Id="rId17" Type="http://schemas.openxmlformats.org/officeDocument/2006/relationships/hyperlink" Target="https://befr.rs-online.com/web/p/pluggable-terminal-blocks/8971262" TargetMode="External"/><Relationship Id="rId25" Type="http://schemas.openxmlformats.org/officeDocument/2006/relationships/hyperlink" Target="https://www.amazon.com/dp/B0B38GYF74?ref_=ppx_printOD_title_dt_b_fed_asin_title_0_0" TargetMode="External"/><Relationship Id="rId33" Type="http://schemas.openxmlformats.org/officeDocument/2006/relationships/hyperlink" Target="https://befr.rs-online.com/web/p/binding-posts/0738345" TargetMode="External"/><Relationship Id="rId38" Type="http://schemas.openxmlformats.org/officeDocument/2006/relationships/hyperlink" Target="https://befr.rs-online.com/web/p/wire-housings-plugs/8201614" TargetMode="External"/><Relationship Id="rId46" Type="http://schemas.openxmlformats.org/officeDocument/2006/relationships/hyperlink" Target="https://www.makerbeam.com/makerbeam-corner-cubes-12p-black-for-makerbeam.html" TargetMode="External"/><Relationship Id="rId59" Type="http://schemas.openxmlformats.org/officeDocument/2006/relationships/hyperlink" Target="https://befr.rs-online.com/web/p/thermal-grease/1938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zoomScale="70" zoomScaleNormal="70" workbookViewId="0">
      <pane ySplit="1" topLeftCell="A2" activePane="bottomLeft" state="frozen"/>
      <selection pane="bottomLeft" activeCell="D2" sqref="D2:D7"/>
    </sheetView>
  </sheetViews>
  <sheetFormatPr baseColWidth="10" defaultColWidth="8.85546875" defaultRowHeight="15" x14ac:dyDescent="0.25"/>
  <cols>
    <col min="1" max="1" width="12" customWidth="1"/>
    <col min="2" max="2" width="32" customWidth="1"/>
    <col min="3" max="3" width="20" customWidth="1"/>
    <col min="4" max="4" width="10" customWidth="1"/>
    <col min="5" max="5" width="38" customWidth="1"/>
    <col min="6" max="6" width="6" customWidth="1"/>
    <col min="7" max="8" width="11" customWidth="1"/>
    <col min="9" max="9" width="16" customWidth="1"/>
    <col min="10" max="11" width="4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9" customHeight="1" x14ac:dyDescent="0.25">
      <c r="A2" s="2" t="s">
        <v>11</v>
      </c>
      <c r="B2" s="2" t="s">
        <v>12</v>
      </c>
      <c r="C2" s="2" t="s">
        <v>13</v>
      </c>
      <c r="D2" s="2"/>
      <c r="E2" s="3" t="s">
        <v>14</v>
      </c>
      <c r="F2" s="2">
        <v>1</v>
      </c>
      <c r="G2" s="4">
        <v>5.24</v>
      </c>
      <c r="H2" s="4">
        <v>5.24</v>
      </c>
      <c r="I2" s="2" t="s">
        <v>15</v>
      </c>
      <c r="J2" s="5" t="s">
        <v>16</v>
      </c>
      <c r="K2" s="3"/>
    </row>
    <row r="3" spans="1:11" ht="57.6" customHeight="1" x14ac:dyDescent="0.25">
      <c r="A3" s="2" t="s">
        <v>11</v>
      </c>
      <c r="B3" s="2" t="s">
        <v>17</v>
      </c>
      <c r="C3" s="2" t="s">
        <v>18</v>
      </c>
      <c r="D3" s="2"/>
      <c r="E3" s="3" t="s">
        <v>19</v>
      </c>
      <c r="F3" s="2">
        <v>2</v>
      </c>
      <c r="G3" s="4">
        <v>3.34</v>
      </c>
      <c r="H3" s="4">
        <v>6.68</v>
      </c>
      <c r="I3" s="2" t="s">
        <v>20</v>
      </c>
      <c r="J3" s="5" t="s">
        <v>21</v>
      </c>
      <c r="K3" s="3"/>
    </row>
    <row r="4" spans="1:11" ht="43.15" customHeight="1" x14ac:dyDescent="0.25">
      <c r="A4" s="2" t="s">
        <v>11</v>
      </c>
      <c r="B4" s="2" t="s">
        <v>22</v>
      </c>
      <c r="C4" s="2" t="s">
        <v>18</v>
      </c>
      <c r="D4" s="2"/>
      <c r="E4" s="3" t="s">
        <v>23</v>
      </c>
      <c r="F4" s="2">
        <v>1</v>
      </c>
      <c r="G4" s="4">
        <v>1.04</v>
      </c>
      <c r="H4" s="4">
        <v>1.04</v>
      </c>
      <c r="I4" s="2" t="s">
        <v>20</v>
      </c>
      <c r="J4" s="5" t="s">
        <v>24</v>
      </c>
      <c r="K4" s="3"/>
    </row>
    <row r="5" spans="1:11" ht="43.15" customHeight="1" x14ac:dyDescent="0.25">
      <c r="A5" s="2" t="s">
        <v>11</v>
      </c>
      <c r="B5" s="2" t="s">
        <v>25</v>
      </c>
      <c r="C5" s="2" t="s">
        <v>26</v>
      </c>
      <c r="D5" s="2"/>
      <c r="E5" s="3" t="s">
        <v>27</v>
      </c>
      <c r="F5" s="2">
        <v>2</v>
      </c>
      <c r="G5" s="4">
        <v>1.5</v>
      </c>
      <c r="H5" s="4">
        <v>3</v>
      </c>
      <c r="I5" s="2" t="s">
        <v>20</v>
      </c>
      <c r="J5" s="5" t="s">
        <v>28</v>
      </c>
      <c r="K5" s="3"/>
    </row>
    <row r="6" spans="1:11" ht="43.15" customHeight="1" x14ac:dyDescent="0.25">
      <c r="A6" s="2" t="s">
        <v>11</v>
      </c>
      <c r="B6" s="2" t="s">
        <v>29</v>
      </c>
      <c r="C6" s="2" t="s">
        <v>30</v>
      </c>
      <c r="D6" s="2"/>
      <c r="E6" s="3" t="s">
        <v>31</v>
      </c>
      <c r="F6" s="2">
        <v>2</v>
      </c>
      <c r="G6" s="4">
        <v>0.22</v>
      </c>
      <c r="H6" s="4">
        <v>0.45</v>
      </c>
      <c r="I6" s="2" t="s">
        <v>20</v>
      </c>
      <c r="J6" s="5" t="s">
        <v>32</v>
      </c>
      <c r="K6" s="3"/>
    </row>
    <row r="7" spans="1:11" ht="43.15" customHeight="1" x14ac:dyDescent="0.25">
      <c r="A7" s="2" t="s">
        <v>11</v>
      </c>
      <c r="B7" s="2" t="s">
        <v>33</v>
      </c>
      <c r="C7" s="2" t="s">
        <v>30</v>
      </c>
      <c r="D7" s="2"/>
      <c r="E7" s="3" t="s">
        <v>34</v>
      </c>
      <c r="F7" s="2">
        <v>1</v>
      </c>
      <c r="G7" s="4">
        <v>0.2</v>
      </c>
      <c r="H7" s="4">
        <v>0.2</v>
      </c>
      <c r="I7" s="2" t="s">
        <v>20</v>
      </c>
      <c r="J7" s="5" t="s">
        <v>35</v>
      </c>
      <c r="K7" s="3"/>
    </row>
    <row r="8" spans="1:11" ht="57.6" customHeight="1" x14ac:dyDescent="0.25">
      <c r="A8" s="2" t="s">
        <v>11</v>
      </c>
      <c r="B8" s="2" t="s">
        <v>36</v>
      </c>
      <c r="C8" s="2" t="s">
        <v>37</v>
      </c>
      <c r="D8" s="2" t="s">
        <v>38</v>
      </c>
      <c r="E8" s="3" t="s">
        <v>39</v>
      </c>
      <c r="F8" s="2">
        <v>2</v>
      </c>
      <c r="G8" s="4">
        <v>0.27</v>
      </c>
      <c r="H8" s="4">
        <v>0.53</v>
      </c>
      <c r="I8" s="2" t="s">
        <v>20</v>
      </c>
      <c r="J8" s="5" t="s">
        <v>40</v>
      </c>
      <c r="K8" s="3"/>
    </row>
    <row r="9" spans="1:11" ht="57.6" customHeight="1" x14ac:dyDescent="0.25">
      <c r="A9" s="2" t="s">
        <v>11</v>
      </c>
      <c r="B9" s="2" t="s">
        <v>41</v>
      </c>
      <c r="C9" s="2" t="s">
        <v>37</v>
      </c>
      <c r="D9" s="2" t="s">
        <v>42</v>
      </c>
      <c r="E9" s="3" t="s">
        <v>43</v>
      </c>
      <c r="F9" s="2">
        <v>2</v>
      </c>
      <c r="G9" s="4">
        <v>0.09</v>
      </c>
      <c r="H9" s="4">
        <v>0.17</v>
      </c>
      <c r="I9" s="2" t="s">
        <v>20</v>
      </c>
      <c r="J9" s="5" t="s">
        <v>44</v>
      </c>
      <c r="K9" s="3"/>
    </row>
    <row r="10" spans="1:11" ht="43.15" customHeight="1" x14ac:dyDescent="0.25">
      <c r="A10" s="2" t="s">
        <v>11</v>
      </c>
      <c r="B10" s="2" t="s">
        <v>45</v>
      </c>
      <c r="C10" s="2" t="s">
        <v>46</v>
      </c>
      <c r="D10" s="2" t="s">
        <v>47</v>
      </c>
      <c r="E10" s="3" t="s">
        <v>48</v>
      </c>
      <c r="F10" s="2">
        <v>2</v>
      </c>
      <c r="G10" s="4">
        <v>0.65</v>
      </c>
      <c r="H10" s="4">
        <v>1.31</v>
      </c>
      <c r="I10" s="2" t="s">
        <v>20</v>
      </c>
      <c r="J10" s="5" t="s">
        <v>49</v>
      </c>
      <c r="K10" s="3"/>
    </row>
    <row r="11" spans="1:11" ht="43.15" customHeight="1" x14ac:dyDescent="0.25">
      <c r="A11" s="2" t="s">
        <v>11</v>
      </c>
      <c r="B11" s="2" t="s">
        <v>50</v>
      </c>
      <c r="C11" s="2" t="s">
        <v>46</v>
      </c>
      <c r="D11" s="2" t="s">
        <v>51</v>
      </c>
      <c r="E11" s="3" t="s">
        <v>52</v>
      </c>
      <c r="F11" s="2">
        <v>2</v>
      </c>
      <c r="G11" s="4">
        <v>0.22</v>
      </c>
      <c r="H11" s="4">
        <v>0.45</v>
      </c>
      <c r="I11" s="2" t="s">
        <v>20</v>
      </c>
      <c r="J11" s="5" t="s">
        <v>53</v>
      </c>
      <c r="K11" s="3"/>
    </row>
    <row r="12" spans="1:11" ht="43.15" customHeight="1" x14ac:dyDescent="0.25">
      <c r="A12" s="2" t="s">
        <v>11</v>
      </c>
      <c r="B12" s="2" t="s">
        <v>54</v>
      </c>
      <c r="C12" s="2" t="s">
        <v>46</v>
      </c>
      <c r="D12" s="2" t="s">
        <v>55</v>
      </c>
      <c r="E12" s="3" t="s">
        <v>56</v>
      </c>
      <c r="F12" s="2">
        <v>2</v>
      </c>
      <c r="G12" s="4">
        <v>0.27</v>
      </c>
      <c r="H12" s="4">
        <v>0.53</v>
      </c>
      <c r="I12" s="2" t="s">
        <v>20</v>
      </c>
      <c r="J12" s="5" t="s">
        <v>57</v>
      </c>
      <c r="K12" s="3"/>
    </row>
    <row r="13" spans="1:11" ht="28.9" customHeight="1" x14ac:dyDescent="0.25">
      <c r="A13" s="2" t="s">
        <v>11</v>
      </c>
      <c r="B13" s="2" t="s">
        <v>58</v>
      </c>
      <c r="C13" s="2" t="s">
        <v>46</v>
      </c>
      <c r="D13" s="2" t="s">
        <v>59</v>
      </c>
      <c r="E13" s="3" t="s">
        <v>60</v>
      </c>
      <c r="F13" s="2">
        <v>1</v>
      </c>
      <c r="G13" s="4">
        <v>0.35</v>
      </c>
      <c r="H13" s="4">
        <v>0.35</v>
      </c>
      <c r="I13" s="2" t="s">
        <v>20</v>
      </c>
      <c r="J13" s="5" t="s">
        <v>61</v>
      </c>
      <c r="K13" s="3"/>
    </row>
    <row r="14" spans="1:11" ht="43.15" customHeight="1" x14ac:dyDescent="0.25">
      <c r="A14" s="2" t="s">
        <v>11</v>
      </c>
      <c r="B14" s="2" t="s">
        <v>62</v>
      </c>
      <c r="C14" s="2" t="s">
        <v>46</v>
      </c>
      <c r="D14" s="2" t="s">
        <v>63</v>
      </c>
      <c r="E14" s="3" t="s">
        <v>64</v>
      </c>
      <c r="F14" s="2">
        <v>1</v>
      </c>
      <c r="G14" s="4">
        <v>0.1</v>
      </c>
      <c r="H14" s="4">
        <v>0.1</v>
      </c>
      <c r="I14" s="2" t="s">
        <v>20</v>
      </c>
      <c r="J14" s="5" t="s">
        <v>65</v>
      </c>
      <c r="K14" s="3"/>
    </row>
    <row r="15" spans="1:11" ht="43.15" customHeight="1" x14ac:dyDescent="0.25">
      <c r="A15" s="2" t="s">
        <v>11</v>
      </c>
      <c r="B15" s="2" t="s">
        <v>66</v>
      </c>
      <c r="C15" s="2" t="s">
        <v>46</v>
      </c>
      <c r="D15" s="2" t="s">
        <v>67</v>
      </c>
      <c r="E15" s="3" t="s">
        <v>68</v>
      </c>
      <c r="F15" s="2">
        <v>1</v>
      </c>
      <c r="G15" s="4">
        <v>0.48</v>
      </c>
      <c r="H15" s="4">
        <v>0.48</v>
      </c>
      <c r="I15" s="2" t="s">
        <v>20</v>
      </c>
      <c r="J15" s="5" t="s">
        <v>69</v>
      </c>
      <c r="K15" s="3"/>
    </row>
    <row r="16" spans="1:11" ht="43.15" customHeight="1" x14ac:dyDescent="0.25">
      <c r="A16" s="2" t="s">
        <v>11</v>
      </c>
      <c r="B16" s="2" t="s">
        <v>70</v>
      </c>
      <c r="C16" s="2" t="s">
        <v>71</v>
      </c>
      <c r="D16" s="2" t="s">
        <v>72</v>
      </c>
      <c r="E16" s="3" t="s">
        <v>73</v>
      </c>
      <c r="F16" s="2">
        <v>1</v>
      </c>
      <c r="G16" s="4">
        <v>2.2400000000000002</v>
      </c>
      <c r="H16" s="4">
        <v>2.2400000000000002</v>
      </c>
      <c r="I16" s="2" t="s">
        <v>20</v>
      </c>
      <c r="J16" s="5" t="s">
        <v>74</v>
      </c>
      <c r="K16" s="3"/>
    </row>
    <row r="17" spans="1:11" ht="43.15" customHeight="1" x14ac:dyDescent="0.25">
      <c r="A17" s="2" t="s">
        <v>11</v>
      </c>
      <c r="B17" s="2" t="s">
        <v>75</v>
      </c>
      <c r="C17" s="2" t="s">
        <v>76</v>
      </c>
      <c r="D17" s="2"/>
      <c r="E17" s="3" t="s">
        <v>77</v>
      </c>
      <c r="F17" s="2">
        <v>1</v>
      </c>
      <c r="G17" s="4">
        <v>0.27</v>
      </c>
      <c r="H17" s="4">
        <v>0.27</v>
      </c>
      <c r="I17" s="2" t="s">
        <v>20</v>
      </c>
      <c r="J17" s="5" t="s">
        <v>78</v>
      </c>
      <c r="K17" s="3"/>
    </row>
    <row r="18" spans="1:11" ht="28.9" customHeight="1" x14ac:dyDescent="0.25">
      <c r="A18" s="2" t="s">
        <v>11</v>
      </c>
      <c r="B18" s="2" t="s">
        <v>79</v>
      </c>
      <c r="C18" s="2" t="s">
        <v>80</v>
      </c>
      <c r="D18" s="2"/>
      <c r="E18" s="3" t="s">
        <v>81</v>
      </c>
      <c r="F18" s="2">
        <v>2</v>
      </c>
      <c r="G18" s="4">
        <v>2.81</v>
      </c>
      <c r="H18" s="4">
        <v>5.62</v>
      </c>
      <c r="I18" s="2" t="s">
        <v>15</v>
      </c>
      <c r="J18" s="5" t="s">
        <v>82</v>
      </c>
      <c r="K18" s="3"/>
    </row>
    <row r="19" spans="1:11" ht="28.9" customHeight="1" x14ac:dyDescent="0.25">
      <c r="A19" s="2" t="s">
        <v>11</v>
      </c>
      <c r="B19" s="2" t="s">
        <v>83</v>
      </c>
      <c r="C19" s="2" t="s">
        <v>80</v>
      </c>
      <c r="D19" s="2"/>
      <c r="E19" s="3" t="s">
        <v>84</v>
      </c>
      <c r="F19" s="2">
        <v>1</v>
      </c>
      <c r="G19" s="4">
        <v>2.84</v>
      </c>
      <c r="H19" s="4">
        <v>2.84</v>
      </c>
      <c r="I19" s="2" t="s">
        <v>15</v>
      </c>
      <c r="J19" s="5" t="s">
        <v>85</v>
      </c>
      <c r="K19" s="3"/>
    </row>
    <row r="20" spans="1:11" ht="28.9" customHeight="1" x14ac:dyDescent="0.25">
      <c r="A20" s="2" t="s">
        <v>11</v>
      </c>
      <c r="B20" s="2" t="s">
        <v>86</v>
      </c>
      <c r="C20" s="2" t="s">
        <v>80</v>
      </c>
      <c r="D20" s="2"/>
      <c r="E20" s="3" t="s">
        <v>87</v>
      </c>
      <c r="F20" s="2">
        <v>2</v>
      </c>
      <c r="G20" s="4">
        <v>0.26</v>
      </c>
      <c r="H20" s="4">
        <v>0.52</v>
      </c>
      <c r="I20" s="2" t="s">
        <v>15</v>
      </c>
      <c r="J20" s="5" t="s">
        <v>88</v>
      </c>
      <c r="K20" s="3"/>
    </row>
    <row r="21" spans="1:11" ht="28.9" customHeight="1" x14ac:dyDescent="0.25">
      <c r="A21" s="2" t="s">
        <v>11</v>
      </c>
      <c r="B21" s="2" t="s">
        <v>89</v>
      </c>
      <c r="C21" s="2" t="s">
        <v>80</v>
      </c>
      <c r="D21" s="2"/>
      <c r="E21" s="3" t="s">
        <v>90</v>
      </c>
      <c r="F21" s="2">
        <v>1</v>
      </c>
      <c r="G21" s="4">
        <v>0.19</v>
      </c>
      <c r="H21" s="4">
        <v>0.19</v>
      </c>
      <c r="I21" s="2" t="s">
        <v>15</v>
      </c>
      <c r="J21" s="5" t="s">
        <v>91</v>
      </c>
      <c r="K21" s="3"/>
    </row>
    <row r="22" spans="1:11" ht="28.9" customHeight="1" x14ac:dyDescent="0.25">
      <c r="A22" s="2" t="s">
        <v>11</v>
      </c>
      <c r="B22" s="2" t="s">
        <v>92</v>
      </c>
      <c r="C22" s="2" t="s">
        <v>80</v>
      </c>
      <c r="D22" s="2"/>
      <c r="E22" s="3" t="s">
        <v>93</v>
      </c>
      <c r="F22" s="2">
        <v>1</v>
      </c>
      <c r="G22" s="4">
        <v>0.21</v>
      </c>
      <c r="H22" s="4">
        <v>0.21</v>
      </c>
      <c r="I22" s="2" t="s">
        <v>15</v>
      </c>
      <c r="J22" s="5" t="s">
        <v>94</v>
      </c>
      <c r="K22" s="3"/>
    </row>
    <row r="23" spans="1:11" ht="28.9" customHeight="1" x14ac:dyDescent="0.25">
      <c r="A23" s="2" t="s">
        <v>11</v>
      </c>
      <c r="B23" s="2" t="s">
        <v>95</v>
      </c>
      <c r="C23" s="2" t="s">
        <v>80</v>
      </c>
      <c r="D23" s="2"/>
      <c r="E23" s="3" t="s">
        <v>96</v>
      </c>
      <c r="F23" s="2">
        <v>2</v>
      </c>
      <c r="G23" s="4">
        <v>0.2</v>
      </c>
      <c r="H23" s="4">
        <v>0.4</v>
      </c>
      <c r="I23" s="2" t="s">
        <v>15</v>
      </c>
      <c r="J23" s="5" t="s">
        <v>97</v>
      </c>
      <c r="K23" s="3"/>
    </row>
    <row r="24" spans="1:11" ht="30" x14ac:dyDescent="0.25">
      <c r="A24" s="2" t="s">
        <v>98</v>
      </c>
      <c r="B24" s="2" t="s">
        <v>11</v>
      </c>
      <c r="C24" s="2" t="s">
        <v>99</v>
      </c>
      <c r="D24" s="2"/>
      <c r="E24" s="3" t="s">
        <v>100</v>
      </c>
      <c r="F24" s="2">
        <v>1</v>
      </c>
      <c r="G24" s="4">
        <v>2.1</v>
      </c>
      <c r="H24" s="4">
        <v>2.1</v>
      </c>
      <c r="I24" s="2" t="s">
        <v>101</v>
      </c>
      <c r="J24" s="5" t="s">
        <v>102</v>
      </c>
      <c r="K24" s="3"/>
    </row>
    <row r="25" spans="1:11" ht="43.15" customHeight="1" x14ac:dyDescent="0.25">
      <c r="A25" s="2" t="s">
        <v>98</v>
      </c>
      <c r="B25" s="2" t="s">
        <v>103</v>
      </c>
      <c r="C25" s="2" t="s">
        <v>104</v>
      </c>
      <c r="D25" s="2"/>
      <c r="E25" s="3" t="s">
        <v>105</v>
      </c>
      <c r="F25" s="2">
        <v>1</v>
      </c>
      <c r="G25" s="4">
        <v>14.73</v>
      </c>
      <c r="H25" s="4">
        <v>14.73</v>
      </c>
      <c r="I25" s="2" t="s">
        <v>20</v>
      </c>
      <c r="J25" s="5" t="s">
        <v>106</v>
      </c>
      <c r="K25" s="3"/>
    </row>
    <row r="26" spans="1:11" ht="28.9" customHeight="1" x14ac:dyDescent="0.25">
      <c r="A26" s="2" t="s">
        <v>98</v>
      </c>
      <c r="B26" s="2" t="s">
        <v>107</v>
      </c>
      <c r="C26" s="2" t="s">
        <v>108</v>
      </c>
      <c r="D26" s="2"/>
      <c r="E26" s="3" t="s">
        <v>109</v>
      </c>
      <c r="F26" s="2">
        <v>1</v>
      </c>
      <c r="G26" s="4">
        <v>23.62</v>
      </c>
      <c r="H26" s="4">
        <v>23.62</v>
      </c>
      <c r="I26" s="2" t="s">
        <v>110</v>
      </c>
      <c r="J26" s="5" t="s">
        <v>111</v>
      </c>
      <c r="K26" s="3" t="s">
        <v>112</v>
      </c>
    </row>
    <row r="27" spans="1:11" ht="28.9" customHeight="1" x14ac:dyDescent="0.25">
      <c r="A27" s="2" t="s">
        <v>98</v>
      </c>
      <c r="B27" s="2" t="s">
        <v>113</v>
      </c>
      <c r="C27" s="2" t="s">
        <v>104</v>
      </c>
      <c r="D27" s="2"/>
      <c r="E27" s="3"/>
      <c r="F27" s="2"/>
      <c r="G27" s="2"/>
      <c r="H27" s="2"/>
      <c r="I27" s="2"/>
      <c r="J27" s="3"/>
      <c r="K27" s="3" t="s">
        <v>114</v>
      </c>
    </row>
    <row r="28" spans="1:11" ht="57.6" customHeight="1" x14ac:dyDescent="0.25">
      <c r="A28" s="2" t="s">
        <v>98</v>
      </c>
      <c r="B28" s="2" t="s">
        <v>115</v>
      </c>
      <c r="C28" s="2" t="s">
        <v>116</v>
      </c>
      <c r="D28" s="2"/>
      <c r="E28" s="3" t="s">
        <v>117</v>
      </c>
      <c r="F28" s="2">
        <v>2</v>
      </c>
      <c r="G28" s="4">
        <v>5.43</v>
      </c>
      <c r="H28" s="4">
        <v>10.86</v>
      </c>
      <c r="I28" s="2" t="s">
        <v>20</v>
      </c>
      <c r="J28" s="5" t="s">
        <v>118</v>
      </c>
      <c r="K28" s="3"/>
    </row>
    <row r="29" spans="1:11" ht="43.15" customHeight="1" x14ac:dyDescent="0.25">
      <c r="A29" s="2" t="s">
        <v>98</v>
      </c>
      <c r="B29" s="2" t="s">
        <v>119</v>
      </c>
      <c r="C29" s="2" t="s">
        <v>120</v>
      </c>
      <c r="D29" s="2"/>
      <c r="E29" s="3" t="s">
        <v>121</v>
      </c>
      <c r="F29" s="2">
        <v>1</v>
      </c>
      <c r="G29" s="4">
        <v>116.59</v>
      </c>
      <c r="H29" s="4">
        <v>116.59</v>
      </c>
      <c r="I29" s="2" t="s">
        <v>20</v>
      </c>
      <c r="J29" s="5" t="s">
        <v>122</v>
      </c>
      <c r="K29" s="3"/>
    </row>
    <row r="30" spans="1:11" ht="72" customHeight="1" x14ac:dyDescent="0.25">
      <c r="A30" s="2" t="s">
        <v>98</v>
      </c>
      <c r="B30" s="2" t="s">
        <v>123</v>
      </c>
      <c r="C30" s="2" t="s">
        <v>124</v>
      </c>
      <c r="D30" s="2"/>
      <c r="E30" s="3" t="s">
        <v>125</v>
      </c>
      <c r="F30" s="2">
        <v>1</v>
      </c>
      <c r="G30" s="4">
        <v>24.99</v>
      </c>
      <c r="H30" s="4">
        <v>24.99</v>
      </c>
      <c r="I30" s="2" t="s">
        <v>126</v>
      </c>
      <c r="J30" s="5" t="s">
        <v>127</v>
      </c>
      <c r="K30" s="3"/>
    </row>
    <row r="31" spans="1:11" ht="28.9" customHeight="1" x14ac:dyDescent="0.25">
      <c r="A31" s="2" t="s">
        <v>98</v>
      </c>
      <c r="B31" s="2" t="s">
        <v>128</v>
      </c>
      <c r="C31" s="2" t="s">
        <v>129</v>
      </c>
      <c r="D31" s="2"/>
      <c r="E31" s="3" t="s">
        <v>130</v>
      </c>
      <c r="F31" s="2">
        <v>1</v>
      </c>
      <c r="G31" s="4">
        <v>6.84</v>
      </c>
      <c r="H31" s="4">
        <v>6.84</v>
      </c>
      <c r="I31" s="2" t="s">
        <v>20</v>
      </c>
      <c r="J31" s="5" t="s">
        <v>131</v>
      </c>
      <c r="K31" s="3"/>
    </row>
    <row r="32" spans="1:11" ht="28.9" customHeight="1" x14ac:dyDescent="0.25">
      <c r="A32" s="2" t="s">
        <v>98</v>
      </c>
      <c r="B32" s="2" t="s">
        <v>132</v>
      </c>
      <c r="C32" s="2" t="s">
        <v>133</v>
      </c>
      <c r="D32" s="2"/>
      <c r="E32" s="3"/>
      <c r="F32" s="2"/>
      <c r="G32" s="2"/>
      <c r="H32" s="2"/>
      <c r="I32" s="2"/>
      <c r="J32" s="3"/>
      <c r="K32" s="3" t="s">
        <v>134</v>
      </c>
    </row>
    <row r="33" spans="1:11" ht="28.9" customHeight="1" x14ac:dyDescent="0.25">
      <c r="A33" s="2" t="s">
        <v>98</v>
      </c>
      <c r="B33" s="2" t="s">
        <v>135</v>
      </c>
      <c r="C33" s="2" t="s">
        <v>80</v>
      </c>
      <c r="D33" s="2"/>
      <c r="E33" s="3" t="s">
        <v>136</v>
      </c>
      <c r="F33" s="2">
        <v>1</v>
      </c>
      <c r="G33" s="4">
        <v>12.29</v>
      </c>
      <c r="H33" s="4">
        <v>12.29</v>
      </c>
      <c r="I33" s="2" t="s">
        <v>15</v>
      </c>
      <c r="J33" s="5" t="s">
        <v>137</v>
      </c>
      <c r="K33" s="3"/>
    </row>
    <row r="34" spans="1:11" ht="28.9" customHeight="1" x14ac:dyDescent="0.25">
      <c r="A34" s="2" t="s">
        <v>98</v>
      </c>
      <c r="B34" s="2" t="s">
        <v>138</v>
      </c>
      <c r="C34" s="2" t="s">
        <v>139</v>
      </c>
      <c r="D34" s="2"/>
      <c r="E34" s="3" t="s">
        <v>140</v>
      </c>
      <c r="F34" s="2">
        <v>1</v>
      </c>
      <c r="G34" s="4">
        <v>5.8</v>
      </c>
      <c r="H34" s="4">
        <v>5.8</v>
      </c>
      <c r="I34" s="2" t="s">
        <v>15</v>
      </c>
      <c r="J34" s="5" t="s">
        <v>141</v>
      </c>
      <c r="K34" s="3" t="s">
        <v>142</v>
      </c>
    </row>
    <row r="35" spans="1:11" ht="28.9" customHeight="1" x14ac:dyDescent="0.25">
      <c r="A35" s="2" t="s">
        <v>98</v>
      </c>
      <c r="B35" s="2" t="s">
        <v>143</v>
      </c>
      <c r="C35" s="2" t="s">
        <v>144</v>
      </c>
      <c r="D35" s="2"/>
      <c r="E35" s="3" t="s">
        <v>145</v>
      </c>
      <c r="F35" s="2">
        <v>2</v>
      </c>
      <c r="G35" s="4">
        <v>0.36</v>
      </c>
      <c r="H35" s="4">
        <v>0.71</v>
      </c>
      <c r="I35" s="2" t="s">
        <v>15</v>
      </c>
      <c r="J35" s="5" t="s">
        <v>146</v>
      </c>
      <c r="K35" s="3" t="s">
        <v>142</v>
      </c>
    </row>
    <row r="36" spans="1:11" ht="28.9" customHeight="1" x14ac:dyDescent="0.25">
      <c r="A36" s="2" t="s">
        <v>98</v>
      </c>
      <c r="B36" s="2" t="s">
        <v>147</v>
      </c>
      <c r="C36" s="2" t="s">
        <v>80</v>
      </c>
      <c r="D36" s="2"/>
      <c r="E36" s="3" t="s">
        <v>148</v>
      </c>
      <c r="F36" s="2">
        <v>1</v>
      </c>
      <c r="G36" s="4">
        <v>3.89</v>
      </c>
      <c r="H36" s="4">
        <v>3.89</v>
      </c>
      <c r="I36" s="2" t="s">
        <v>15</v>
      </c>
      <c r="J36" s="5" t="s">
        <v>149</v>
      </c>
      <c r="K36" s="3"/>
    </row>
    <row r="37" spans="1:11" ht="28.9" customHeight="1" x14ac:dyDescent="0.25">
      <c r="A37" s="2" t="s">
        <v>98</v>
      </c>
      <c r="B37" s="2" t="s">
        <v>150</v>
      </c>
      <c r="C37" s="2" t="s">
        <v>80</v>
      </c>
      <c r="D37" s="2"/>
      <c r="E37" s="3" t="s">
        <v>151</v>
      </c>
      <c r="F37" s="2">
        <v>1</v>
      </c>
      <c r="G37" s="4">
        <v>3.85</v>
      </c>
      <c r="H37" s="4">
        <v>3.85</v>
      </c>
      <c r="I37" s="2" t="s">
        <v>15</v>
      </c>
      <c r="J37" s="5" t="s">
        <v>152</v>
      </c>
      <c r="K37" s="3"/>
    </row>
    <row r="38" spans="1:11" ht="28.9" customHeight="1" x14ac:dyDescent="0.25">
      <c r="A38" s="2" t="s">
        <v>98</v>
      </c>
      <c r="B38" s="2" t="s">
        <v>153</v>
      </c>
      <c r="C38" s="2" t="s">
        <v>80</v>
      </c>
      <c r="D38" s="2"/>
      <c r="E38" s="3" t="s">
        <v>87</v>
      </c>
      <c r="F38" s="2">
        <v>1</v>
      </c>
      <c r="G38" s="4">
        <v>0.26</v>
      </c>
      <c r="H38" s="4">
        <v>0.26</v>
      </c>
      <c r="I38" s="2" t="s">
        <v>15</v>
      </c>
      <c r="J38" s="5" t="s">
        <v>88</v>
      </c>
      <c r="K38" s="3"/>
    </row>
    <row r="39" spans="1:11" ht="28.9" customHeight="1" x14ac:dyDescent="0.25">
      <c r="A39" s="2" t="s">
        <v>98</v>
      </c>
      <c r="B39" s="2" t="s">
        <v>154</v>
      </c>
      <c r="C39" s="2" t="s">
        <v>80</v>
      </c>
      <c r="D39" s="2"/>
      <c r="E39" s="3" t="s">
        <v>155</v>
      </c>
      <c r="F39" s="2">
        <v>2</v>
      </c>
      <c r="G39" s="4">
        <v>0.14000000000000001</v>
      </c>
      <c r="H39" s="4">
        <v>0.28000000000000003</v>
      </c>
      <c r="I39" s="2" t="s">
        <v>15</v>
      </c>
      <c r="J39" s="5" t="s">
        <v>156</v>
      </c>
      <c r="K39" s="3"/>
    </row>
    <row r="40" spans="1:11" ht="28.9" customHeight="1" x14ac:dyDescent="0.25">
      <c r="A40" s="2" t="s">
        <v>98</v>
      </c>
      <c r="B40" s="2" t="s">
        <v>157</v>
      </c>
      <c r="C40" s="2" t="s">
        <v>80</v>
      </c>
      <c r="D40" s="2"/>
      <c r="E40" s="3" t="s">
        <v>158</v>
      </c>
      <c r="F40" s="2">
        <v>1</v>
      </c>
      <c r="G40" s="4">
        <v>0.11</v>
      </c>
      <c r="H40" s="4">
        <v>0.11</v>
      </c>
      <c r="I40" s="2" t="s">
        <v>15</v>
      </c>
      <c r="J40" s="5" t="s">
        <v>159</v>
      </c>
      <c r="K40" s="3"/>
    </row>
    <row r="41" spans="1:11" ht="28.9" customHeight="1" x14ac:dyDescent="0.25">
      <c r="A41" s="2" t="s">
        <v>98</v>
      </c>
      <c r="B41" s="2" t="s">
        <v>160</v>
      </c>
      <c r="C41" s="2" t="s">
        <v>80</v>
      </c>
      <c r="D41" s="2"/>
      <c r="E41" s="3" t="s">
        <v>161</v>
      </c>
      <c r="F41" s="2">
        <v>2</v>
      </c>
      <c r="G41" s="4">
        <v>0.11</v>
      </c>
      <c r="H41" s="4">
        <v>0.22</v>
      </c>
      <c r="I41" s="2" t="s">
        <v>15</v>
      </c>
      <c r="J41" s="5" t="s">
        <v>162</v>
      </c>
      <c r="K41" s="3"/>
    </row>
    <row r="42" spans="1:11" ht="28.9" customHeight="1" x14ac:dyDescent="0.25">
      <c r="A42" s="8" t="s">
        <v>98</v>
      </c>
      <c r="B42" s="8" t="s">
        <v>163</v>
      </c>
      <c r="C42" s="8" t="s">
        <v>80</v>
      </c>
      <c r="D42" s="8" t="s">
        <v>164</v>
      </c>
      <c r="E42" s="9" t="s">
        <v>165</v>
      </c>
      <c r="F42" s="8">
        <v>1</v>
      </c>
      <c r="G42" s="10">
        <v>1.0780000000000001</v>
      </c>
      <c r="H42" s="10">
        <v>1.0780000000000001</v>
      </c>
      <c r="I42" s="8" t="s">
        <v>15</v>
      </c>
      <c r="J42" s="11" t="s">
        <v>166</v>
      </c>
      <c r="K42" s="9"/>
    </row>
    <row r="43" spans="1:11" ht="28.9" customHeight="1" x14ac:dyDescent="0.25">
      <c r="A43" s="2" t="s">
        <v>98</v>
      </c>
      <c r="B43" s="2" t="s">
        <v>167</v>
      </c>
      <c r="C43" s="2" t="s">
        <v>168</v>
      </c>
      <c r="D43" s="2"/>
      <c r="E43" s="3" t="s">
        <v>169</v>
      </c>
      <c r="F43" s="2">
        <v>16</v>
      </c>
      <c r="G43" s="4">
        <v>0.03</v>
      </c>
      <c r="H43" s="4">
        <v>0.48</v>
      </c>
      <c r="I43" s="2" t="s">
        <v>15</v>
      </c>
      <c r="J43" s="5" t="s">
        <v>170</v>
      </c>
      <c r="K43" s="3"/>
    </row>
    <row r="44" spans="1:11" ht="28.9" customHeight="1" x14ac:dyDescent="0.25">
      <c r="A44" s="2" t="s">
        <v>98</v>
      </c>
      <c r="B44" s="2" t="s">
        <v>171</v>
      </c>
      <c r="C44" s="2" t="s">
        <v>168</v>
      </c>
      <c r="D44" s="2"/>
      <c r="E44" s="3" t="s">
        <v>172</v>
      </c>
      <c r="F44" s="2">
        <v>3</v>
      </c>
      <c r="G44" s="4">
        <v>0.06</v>
      </c>
      <c r="H44" s="4">
        <v>0.18</v>
      </c>
      <c r="I44" s="2" t="s">
        <v>15</v>
      </c>
      <c r="J44" s="5" t="s">
        <v>173</v>
      </c>
      <c r="K44" s="3"/>
    </row>
    <row r="45" spans="1:11" ht="28.9" customHeight="1" x14ac:dyDescent="0.25">
      <c r="A45" s="2" t="s">
        <v>98</v>
      </c>
      <c r="B45" s="2" t="s">
        <v>174</v>
      </c>
      <c r="C45" s="2" t="s">
        <v>168</v>
      </c>
      <c r="D45" s="2"/>
      <c r="E45" s="3" t="s">
        <v>175</v>
      </c>
      <c r="F45" s="2">
        <v>3</v>
      </c>
      <c r="G45" s="4">
        <v>0.06</v>
      </c>
      <c r="H45" s="4">
        <v>0.17</v>
      </c>
      <c r="I45" s="2" t="s">
        <v>15</v>
      </c>
      <c r="J45" s="5" t="s">
        <v>176</v>
      </c>
      <c r="K45" s="3"/>
    </row>
    <row r="46" spans="1:11" ht="28.9" customHeight="1" x14ac:dyDescent="0.25">
      <c r="A46" s="2" t="s">
        <v>98</v>
      </c>
      <c r="B46" s="2" t="s">
        <v>177</v>
      </c>
      <c r="C46" s="2" t="s">
        <v>80</v>
      </c>
      <c r="D46" s="2"/>
      <c r="E46" s="3" t="s">
        <v>178</v>
      </c>
      <c r="F46" s="2">
        <v>1</v>
      </c>
      <c r="G46" s="4">
        <v>1.98</v>
      </c>
      <c r="H46" s="4">
        <v>1.98</v>
      </c>
      <c r="I46" s="2" t="s">
        <v>15</v>
      </c>
      <c r="J46" s="5" t="s">
        <v>179</v>
      </c>
      <c r="K46" s="3"/>
    </row>
    <row r="47" spans="1:11" ht="28.9" customHeight="1" x14ac:dyDescent="0.25">
      <c r="A47" s="2" t="s">
        <v>98</v>
      </c>
      <c r="B47" s="2" t="s">
        <v>180</v>
      </c>
      <c r="C47" s="2" t="s">
        <v>80</v>
      </c>
      <c r="D47" s="2"/>
      <c r="E47" s="3" t="s">
        <v>181</v>
      </c>
      <c r="F47" s="2">
        <v>2</v>
      </c>
      <c r="G47" s="4">
        <v>0.75</v>
      </c>
      <c r="H47" s="4">
        <v>1.49</v>
      </c>
      <c r="I47" s="2" t="s">
        <v>15</v>
      </c>
      <c r="J47" s="5" t="s">
        <v>182</v>
      </c>
      <c r="K47" s="3"/>
    </row>
    <row r="48" spans="1:11" ht="28.9" customHeight="1" x14ac:dyDescent="0.25">
      <c r="A48" s="2" t="s">
        <v>98</v>
      </c>
      <c r="B48" s="2" t="s">
        <v>183</v>
      </c>
      <c r="C48" s="2" t="s">
        <v>80</v>
      </c>
      <c r="D48" s="2"/>
      <c r="E48" s="3" t="s">
        <v>184</v>
      </c>
      <c r="F48" s="2">
        <v>1</v>
      </c>
      <c r="G48" s="4">
        <v>1.42</v>
      </c>
      <c r="H48" s="4">
        <v>1.42</v>
      </c>
      <c r="I48" s="2" t="s">
        <v>15</v>
      </c>
      <c r="J48" s="5" t="s">
        <v>185</v>
      </c>
      <c r="K48" s="3"/>
    </row>
    <row r="49" spans="1:11" ht="28.9" customHeight="1" x14ac:dyDescent="0.25">
      <c r="A49" s="2" t="s">
        <v>98</v>
      </c>
      <c r="B49" s="2" t="s">
        <v>186</v>
      </c>
      <c r="C49" s="2" t="s">
        <v>133</v>
      </c>
      <c r="D49" s="2" t="s">
        <v>187</v>
      </c>
      <c r="E49" s="3" t="s">
        <v>188</v>
      </c>
      <c r="F49" s="2">
        <v>1</v>
      </c>
      <c r="G49" s="4">
        <v>3.69</v>
      </c>
      <c r="H49" s="4">
        <v>3.69</v>
      </c>
      <c r="I49" s="2" t="s">
        <v>15</v>
      </c>
      <c r="J49" s="5" t="s">
        <v>189</v>
      </c>
      <c r="K49" s="3" t="s">
        <v>190</v>
      </c>
    </row>
    <row r="50" spans="1:11" ht="28.9" customHeight="1" x14ac:dyDescent="0.25">
      <c r="A50" s="2" t="s">
        <v>98</v>
      </c>
      <c r="B50" s="2" t="s">
        <v>191</v>
      </c>
      <c r="C50" s="2" t="s">
        <v>133</v>
      </c>
      <c r="D50" s="2" t="s">
        <v>192</v>
      </c>
      <c r="E50" s="3" t="s">
        <v>193</v>
      </c>
      <c r="F50" s="2">
        <v>1</v>
      </c>
      <c r="G50" s="4">
        <v>0.92859999999999998</v>
      </c>
      <c r="H50" s="4">
        <v>0.93</v>
      </c>
      <c r="I50" s="2" t="s">
        <v>15</v>
      </c>
      <c r="J50" s="5" t="s">
        <v>194</v>
      </c>
      <c r="K50" s="3" t="s">
        <v>195</v>
      </c>
    </row>
    <row r="51" spans="1:11" ht="28.9" customHeight="1" x14ac:dyDescent="0.25">
      <c r="A51" s="2" t="s">
        <v>98</v>
      </c>
      <c r="B51" s="2" t="s">
        <v>196</v>
      </c>
      <c r="C51" s="2" t="s">
        <v>133</v>
      </c>
      <c r="D51" s="2" t="s">
        <v>192</v>
      </c>
      <c r="E51" s="3" t="s">
        <v>197</v>
      </c>
      <c r="F51" s="2">
        <v>1</v>
      </c>
      <c r="G51" s="4">
        <v>0.92859999999999998</v>
      </c>
      <c r="H51" s="4">
        <v>0.93</v>
      </c>
      <c r="I51" s="2" t="s">
        <v>15</v>
      </c>
      <c r="J51" s="5" t="s">
        <v>198</v>
      </c>
      <c r="K51" s="3" t="s">
        <v>199</v>
      </c>
    </row>
    <row r="52" spans="1:11" ht="28.9" customHeight="1" x14ac:dyDescent="0.25">
      <c r="A52" s="2" t="s">
        <v>98</v>
      </c>
      <c r="B52" s="2" t="s">
        <v>200</v>
      </c>
      <c r="C52" s="2" t="s">
        <v>133</v>
      </c>
      <c r="D52" s="2" t="s">
        <v>192</v>
      </c>
      <c r="E52" s="3" t="s">
        <v>201</v>
      </c>
      <c r="F52" s="2">
        <v>1</v>
      </c>
      <c r="G52" s="4">
        <v>0.92859999999999998</v>
      </c>
      <c r="H52" s="4">
        <v>0.93</v>
      </c>
      <c r="I52" s="2" t="s">
        <v>15</v>
      </c>
      <c r="J52" s="5" t="s">
        <v>202</v>
      </c>
      <c r="K52" s="3" t="s">
        <v>203</v>
      </c>
    </row>
    <row r="53" spans="1:11" ht="28.9" customHeight="1" x14ac:dyDescent="0.25">
      <c r="A53" s="2" t="s">
        <v>98</v>
      </c>
      <c r="B53" s="2" t="s">
        <v>204</v>
      </c>
      <c r="C53" s="2" t="s">
        <v>133</v>
      </c>
      <c r="D53" s="2" t="s">
        <v>205</v>
      </c>
      <c r="E53" s="3" t="s">
        <v>206</v>
      </c>
      <c r="F53" s="2">
        <v>0.5</v>
      </c>
      <c r="G53" s="4">
        <v>0.29480000000000001</v>
      </c>
      <c r="H53" s="4">
        <v>0.15</v>
      </c>
      <c r="I53" s="2" t="s">
        <v>15</v>
      </c>
      <c r="J53" s="5" t="s">
        <v>207</v>
      </c>
      <c r="K53" s="3" t="s">
        <v>208</v>
      </c>
    </row>
    <row r="54" spans="1:11" ht="28.9" customHeight="1" x14ac:dyDescent="0.25">
      <c r="A54" s="2" t="s">
        <v>209</v>
      </c>
      <c r="B54" s="2" t="s">
        <v>210</v>
      </c>
      <c r="C54" s="2" t="s">
        <v>211</v>
      </c>
      <c r="D54" s="2"/>
      <c r="E54" s="3" t="s">
        <v>212</v>
      </c>
      <c r="F54" s="2">
        <v>16</v>
      </c>
      <c r="G54" s="4">
        <v>1.58</v>
      </c>
      <c r="H54" s="4">
        <v>25.31</v>
      </c>
      <c r="I54" s="2" t="s">
        <v>213</v>
      </c>
      <c r="J54" s="5" t="s">
        <v>214</v>
      </c>
      <c r="K54" s="3"/>
    </row>
    <row r="55" spans="1:11" ht="28.9" customHeight="1" x14ac:dyDescent="0.25">
      <c r="A55" s="2" t="s">
        <v>209</v>
      </c>
      <c r="B55" s="2" t="s">
        <v>215</v>
      </c>
      <c r="C55" s="2" t="s">
        <v>216</v>
      </c>
      <c r="D55" s="2"/>
      <c r="E55" s="3"/>
      <c r="F55" s="2">
        <v>52</v>
      </c>
      <c r="G55" s="2"/>
      <c r="H55" s="2"/>
      <c r="I55" s="2"/>
      <c r="J55" s="12" t="s">
        <v>241</v>
      </c>
      <c r="K55" s="3" t="s">
        <v>217</v>
      </c>
    </row>
    <row r="56" spans="1:11" ht="28.9" customHeight="1" x14ac:dyDescent="0.25">
      <c r="A56" s="2" t="s">
        <v>209</v>
      </c>
      <c r="B56" s="2" t="s">
        <v>218</v>
      </c>
      <c r="C56" s="2" t="s">
        <v>219</v>
      </c>
      <c r="D56" s="2"/>
      <c r="E56" s="3" t="s">
        <v>220</v>
      </c>
      <c r="F56" s="2">
        <v>4</v>
      </c>
      <c r="G56" s="4">
        <v>5</v>
      </c>
      <c r="H56" s="4">
        <v>20</v>
      </c>
      <c r="I56" s="2" t="s">
        <v>213</v>
      </c>
      <c r="J56" s="5" t="s">
        <v>221</v>
      </c>
      <c r="K56" s="3"/>
    </row>
    <row r="57" spans="1:11" ht="28.9" customHeight="1" x14ac:dyDescent="0.25">
      <c r="A57" s="2" t="s">
        <v>209</v>
      </c>
      <c r="B57" s="2" t="s">
        <v>222</v>
      </c>
      <c r="C57" s="2" t="s">
        <v>219</v>
      </c>
      <c r="D57" s="2"/>
      <c r="E57" s="3"/>
      <c r="F57" s="2"/>
      <c r="G57" s="2"/>
      <c r="H57" s="2"/>
      <c r="I57" s="2"/>
      <c r="J57" s="12" t="s">
        <v>221</v>
      </c>
      <c r="K57" s="3" t="s">
        <v>223</v>
      </c>
    </row>
    <row r="58" spans="1:11" ht="28.9" customHeight="1" x14ac:dyDescent="0.25">
      <c r="A58" s="2" t="s">
        <v>209</v>
      </c>
      <c r="B58" s="2" t="s">
        <v>224</v>
      </c>
      <c r="C58" s="2" t="s">
        <v>219</v>
      </c>
      <c r="D58" s="2"/>
      <c r="E58" s="3"/>
      <c r="F58" s="2"/>
      <c r="G58" s="2"/>
      <c r="H58" s="2"/>
      <c r="I58" s="2"/>
      <c r="J58" s="12" t="s">
        <v>221</v>
      </c>
      <c r="K58" s="3" t="s">
        <v>223</v>
      </c>
    </row>
    <row r="59" spans="1:11" ht="30" x14ac:dyDescent="0.25">
      <c r="A59" s="2" t="s">
        <v>209</v>
      </c>
      <c r="B59" s="2" t="s">
        <v>225</v>
      </c>
      <c r="C59" s="2" t="s">
        <v>226</v>
      </c>
      <c r="D59" s="2"/>
      <c r="E59" s="3" t="s">
        <v>227</v>
      </c>
      <c r="F59" s="2">
        <v>4</v>
      </c>
      <c r="G59" s="4">
        <v>0.59</v>
      </c>
      <c r="H59" s="4">
        <v>2.38</v>
      </c>
      <c r="I59" s="2" t="s">
        <v>213</v>
      </c>
      <c r="J59" s="5" t="s">
        <v>228</v>
      </c>
      <c r="K59" s="3"/>
    </row>
    <row r="60" spans="1:11" ht="28.9" customHeight="1" x14ac:dyDescent="0.25">
      <c r="A60" s="2" t="s">
        <v>209</v>
      </c>
      <c r="B60" s="2" t="s">
        <v>229</v>
      </c>
      <c r="C60" s="2" t="s">
        <v>226</v>
      </c>
      <c r="D60" s="2"/>
      <c r="E60" s="3" t="s">
        <v>230</v>
      </c>
      <c r="F60" s="2">
        <v>4</v>
      </c>
      <c r="G60" s="4">
        <v>1.1200000000000001</v>
      </c>
      <c r="H60" s="4">
        <v>4.5</v>
      </c>
      <c r="I60" s="2" t="s">
        <v>213</v>
      </c>
      <c r="J60" s="5" t="s">
        <v>231</v>
      </c>
      <c r="K60" s="3"/>
    </row>
    <row r="61" spans="1:11" ht="30" x14ac:dyDescent="0.25">
      <c r="A61" s="2" t="s">
        <v>209</v>
      </c>
      <c r="B61" s="2" t="s">
        <v>232</v>
      </c>
      <c r="C61" s="2" t="s">
        <v>226</v>
      </c>
      <c r="D61" s="2"/>
      <c r="E61" s="3" t="s">
        <v>233</v>
      </c>
      <c r="F61" s="2">
        <v>8</v>
      </c>
      <c r="G61" s="4">
        <v>1.69</v>
      </c>
      <c r="H61" s="4">
        <v>13.53</v>
      </c>
      <c r="I61" s="2" t="s">
        <v>213</v>
      </c>
      <c r="J61" s="5" t="s">
        <v>234</v>
      </c>
      <c r="K61" s="3"/>
    </row>
    <row r="62" spans="1:11" ht="30" x14ac:dyDescent="0.25">
      <c r="A62" s="2" t="s">
        <v>209</v>
      </c>
      <c r="B62" s="2" t="s">
        <v>235</v>
      </c>
      <c r="C62" s="2" t="s">
        <v>226</v>
      </c>
      <c r="D62" s="2"/>
      <c r="E62" s="3" t="s">
        <v>236</v>
      </c>
      <c r="F62" s="2">
        <v>8</v>
      </c>
      <c r="G62" s="4">
        <v>1.99</v>
      </c>
      <c r="H62" s="4">
        <v>15.9</v>
      </c>
      <c r="I62" s="2" t="s">
        <v>213</v>
      </c>
      <c r="J62" s="5" t="s">
        <v>237</v>
      </c>
      <c r="K62" s="3"/>
    </row>
    <row r="63" spans="1:11" ht="28.9" customHeight="1" x14ac:dyDescent="0.25">
      <c r="A63" s="2" t="s">
        <v>209</v>
      </c>
      <c r="B63" s="2" t="s">
        <v>238</v>
      </c>
      <c r="C63" s="2" t="s">
        <v>239</v>
      </c>
      <c r="D63" s="2"/>
      <c r="E63" s="3" t="s">
        <v>240</v>
      </c>
      <c r="F63" s="2">
        <v>8</v>
      </c>
      <c r="G63" s="4">
        <v>0.64</v>
      </c>
      <c r="H63" s="4">
        <v>5.1100000000000003</v>
      </c>
      <c r="I63" s="2" t="s">
        <v>213</v>
      </c>
      <c r="J63" s="5" t="s">
        <v>241</v>
      </c>
      <c r="K63" s="3"/>
    </row>
    <row r="64" spans="1:11" ht="28.9" customHeight="1" x14ac:dyDescent="0.25">
      <c r="A64" s="2" t="s">
        <v>209</v>
      </c>
      <c r="B64" s="2" t="s">
        <v>242</v>
      </c>
      <c r="C64" s="2" t="s">
        <v>239</v>
      </c>
      <c r="D64" s="2"/>
      <c r="E64" s="3" t="s">
        <v>243</v>
      </c>
      <c r="F64" s="2">
        <v>2</v>
      </c>
      <c r="G64" s="4">
        <v>0.24</v>
      </c>
      <c r="H64" s="4">
        <v>0.48</v>
      </c>
      <c r="I64" s="2" t="s">
        <v>15</v>
      </c>
      <c r="J64" s="5" t="s">
        <v>244</v>
      </c>
      <c r="K64" s="3"/>
    </row>
    <row r="65" spans="1:11" ht="28.9" customHeight="1" x14ac:dyDescent="0.25">
      <c r="A65" s="2" t="s">
        <v>209</v>
      </c>
      <c r="B65" s="2" t="s">
        <v>245</v>
      </c>
      <c r="C65" s="2" t="s">
        <v>239</v>
      </c>
      <c r="D65" s="2"/>
      <c r="E65" s="3" t="s">
        <v>246</v>
      </c>
      <c r="F65" s="2">
        <v>12</v>
      </c>
      <c r="G65" s="4">
        <v>0.03</v>
      </c>
      <c r="H65" s="4">
        <v>0.31</v>
      </c>
      <c r="I65" s="2" t="s">
        <v>213</v>
      </c>
      <c r="J65" s="5" t="s">
        <v>247</v>
      </c>
      <c r="K65" s="3"/>
    </row>
    <row r="66" spans="1:11" ht="28.9" customHeight="1" x14ac:dyDescent="0.25">
      <c r="A66" s="2" t="s">
        <v>209</v>
      </c>
      <c r="B66" s="2" t="s">
        <v>248</v>
      </c>
      <c r="C66" s="2" t="s">
        <v>239</v>
      </c>
      <c r="D66" s="2"/>
      <c r="E66" s="3" t="s">
        <v>249</v>
      </c>
      <c r="F66" s="2">
        <v>8</v>
      </c>
      <c r="G66" s="4">
        <v>0.05</v>
      </c>
      <c r="H66" s="4">
        <v>0.42</v>
      </c>
      <c r="I66" s="2" t="s">
        <v>15</v>
      </c>
      <c r="J66" s="5" t="s">
        <v>250</v>
      </c>
      <c r="K66" s="3"/>
    </row>
    <row r="67" spans="1:11" ht="28.9" customHeight="1" x14ac:dyDescent="0.25">
      <c r="A67" s="2" t="s">
        <v>209</v>
      </c>
      <c r="B67" s="2" t="s">
        <v>251</v>
      </c>
      <c r="C67" s="2" t="s">
        <v>239</v>
      </c>
      <c r="D67" s="2"/>
      <c r="E67" s="3" t="s">
        <v>252</v>
      </c>
      <c r="F67" s="2">
        <v>2</v>
      </c>
      <c r="G67" s="4">
        <v>0.03</v>
      </c>
      <c r="H67" s="4">
        <v>0.06</v>
      </c>
      <c r="I67" s="2" t="s">
        <v>15</v>
      </c>
      <c r="J67" s="5" t="s">
        <v>253</v>
      </c>
      <c r="K67" s="3"/>
    </row>
    <row r="68" spans="1:11" ht="28.9" customHeight="1" x14ac:dyDescent="0.25">
      <c r="A68" s="2" t="s">
        <v>209</v>
      </c>
      <c r="B68" s="2" t="s">
        <v>254</v>
      </c>
      <c r="C68" s="2" t="s">
        <v>216</v>
      </c>
      <c r="D68" s="2"/>
      <c r="E68" s="3" t="s">
        <v>255</v>
      </c>
      <c r="F68" s="2">
        <v>2</v>
      </c>
      <c r="G68" s="4">
        <v>0.2</v>
      </c>
      <c r="H68" s="4">
        <v>0.4</v>
      </c>
      <c r="I68" s="2" t="s">
        <v>15</v>
      </c>
      <c r="J68" s="5" t="s">
        <v>256</v>
      </c>
      <c r="K68" s="3"/>
    </row>
    <row r="69" spans="1:11" ht="28.9" customHeight="1" x14ac:dyDescent="0.25">
      <c r="A69" s="2" t="s">
        <v>209</v>
      </c>
      <c r="B69" s="2" t="s">
        <v>257</v>
      </c>
      <c r="C69" s="2" t="s">
        <v>216</v>
      </c>
      <c r="D69" s="2"/>
      <c r="E69" s="3"/>
      <c r="F69" s="2">
        <v>16</v>
      </c>
      <c r="G69" s="2"/>
      <c r="H69" s="2"/>
      <c r="I69" s="2" t="s">
        <v>213</v>
      </c>
      <c r="J69" s="12" t="s">
        <v>241</v>
      </c>
      <c r="K69" s="3" t="s">
        <v>258</v>
      </c>
    </row>
    <row r="70" spans="1:11" ht="28.9" customHeight="1" x14ac:dyDescent="0.25">
      <c r="A70" s="2" t="s">
        <v>209</v>
      </c>
      <c r="B70" s="2" t="s">
        <v>259</v>
      </c>
      <c r="C70" s="2" t="s">
        <v>216</v>
      </c>
      <c r="D70" s="2"/>
      <c r="E70" s="3" t="s">
        <v>260</v>
      </c>
      <c r="F70" s="2">
        <v>2</v>
      </c>
      <c r="G70" s="4">
        <v>0.56999999999999995</v>
      </c>
      <c r="H70" s="4">
        <v>1.1399999999999999</v>
      </c>
      <c r="I70" s="2" t="s">
        <v>15</v>
      </c>
      <c r="J70" s="5" t="s">
        <v>261</v>
      </c>
      <c r="K70" s="3"/>
    </row>
    <row r="71" spans="1:11" ht="28.9" customHeight="1" x14ac:dyDescent="0.25">
      <c r="A71" s="2" t="s">
        <v>209</v>
      </c>
      <c r="B71" s="2" t="s">
        <v>262</v>
      </c>
      <c r="C71" s="2" t="s">
        <v>216</v>
      </c>
      <c r="D71" s="2"/>
      <c r="E71" s="3" t="s">
        <v>263</v>
      </c>
      <c r="F71" s="2">
        <v>4</v>
      </c>
      <c r="G71" s="4">
        <v>1.1100000000000001</v>
      </c>
      <c r="H71" s="4">
        <v>4.43</v>
      </c>
      <c r="I71" s="2" t="s">
        <v>15</v>
      </c>
      <c r="J71" s="5" t="s">
        <v>264</v>
      </c>
      <c r="K71" s="3"/>
    </row>
    <row r="72" spans="1:11" ht="57.6" customHeight="1" x14ac:dyDescent="0.25">
      <c r="A72" s="2" t="s">
        <v>209</v>
      </c>
      <c r="B72" s="2" t="s">
        <v>265</v>
      </c>
      <c r="C72" s="2" t="s">
        <v>216</v>
      </c>
      <c r="D72" s="2"/>
      <c r="E72" s="3" t="s">
        <v>266</v>
      </c>
      <c r="F72" s="2">
        <v>8</v>
      </c>
      <c r="G72" s="4">
        <v>0.13</v>
      </c>
      <c r="H72" s="4">
        <v>1.03</v>
      </c>
      <c r="I72" s="2" t="s">
        <v>15</v>
      </c>
      <c r="J72" s="5" t="s">
        <v>267</v>
      </c>
      <c r="K72" s="3"/>
    </row>
    <row r="73" spans="1:11" ht="30" x14ac:dyDescent="0.25">
      <c r="A73" s="2" t="s">
        <v>209</v>
      </c>
      <c r="B73" s="2" t="s">
        <v>268</v>
      </c>
      <c r="C73" s="2" t="s">
        <v>216</v>
      </c>
      <c r="D73" s="2"/>
      <c r="E73" s="3" t="s">
        <v>269</v>
      </c>
      <c r="F73" s="2">
        <v>2</v>
      </c>
      <c r="G73" s="4">
        <v>0.26</v>
      </c>
      <c r="H73" s="4">
        <v>0.53</v>
      </c>
      <c r="I73" s="2" t="s">
        <v>15</v>
      </c>
      <c r="J73" s="5" t="s">
        <v>270</v>
      </c>
      <c r="K73" s="3"/>
    </row>
    <row r="74" spans="1:11" ht="30" x14ac:dyDescent="0.25">
      <c r="A74" s="2" t="s">
        <v>209</v>
      </c>
      <c r="B74" s="2" t="s">
        <v>271</v>
      </c>
      <c r="C74" s="2" t="s">
        <v>272</v>
      </c>
      <c r="D74" s="2"/>
      <c r="E74" s="3" t="s">
        <v>273</v>
      </c>
      <c r="F74" s="2">
        <v>2</v>
      </c>
      <c r="G74" s="4">
        <v>3.5</v>
      </c>
      <c r="H74" s="4">
        <v>6.99</v>
      </c>
      <c r="I74" s="2" t="s">
        <v>15</v>
      </c>
      <c r="J74" s="5" t="s">
        <v>274</v>
      </c>
      <c r="K74" s="3"/>
    </row>
    <row r="75" spans="1:11" ht="30" x14ac:dyDescent="0.25">
      <c r="A75" s="2" t="s">
        <v>209</v>
      </c>
      <c r="B75" s="2" t="s">
        <v>275</v>
      </c>
      <c r="C75" s="2" t="s">
        <v>276</v>
      </c>
      <c r="D75" s="2"/>
      <c r="E75" s="3" t="s">
        <v>277</v>
      </c>
      <c r="F75" s="2">
        <v>1</v>
      </c>
      <c r="G75" s="4">
        <v>21.92</v>
      </c>
      <c r="H75" s="4">
        <v>21.92</v>
      </c>
      <c r="I75" s="2" t="s">
        <v>15</v>
      </c>
      <c r="J75" s="5" t="s">
        <v>278</v>
      </c>
      <c r="K75" s="3"/>
    </row>
    <row r="76" spans="1:11" ht="30" x14ac:dyDescent="0.25">
      <c r="A76" s="2" t="s">
        <v>209</v>
      </c>
      <c r="B76" s="2" t="s">
        <v>279</v>
      </c>
      <c r="C76" s="2" t="s">
        <v>280</v>
      </c>
      <c r="D76" s="2"/>
      <c r="E76" s="3" t="s">
        <v>281</v>
      </c>
      <c r="F76" s="2">
        <v>8</v>
      </c>
      <c r="G76" s="4">
        <v>0.21</v>
      </c>
      <c r="H76" s="4">
        <v>1.67</v>
      </c>
      <c r="I76" s="2" t="s">
        <v>15</v>
      </c>
      <c r="J76" s="5" t="s">
        <v>282</v>
      </c>
      <c r="K76" s="3"/>
    </row>
    <row r="77" spans="1:11" ht="75" x14ac:dyDescent="0.25">
      <c r="A77" s="2" t="s">
        <v>209</v>
      </c>
      <c r="B77" s="2" t="s">
        <v>283</v>
      </c>
      <c r="C77" s="2" t="s">
        <v>284</v>
      </c>
      <c r="D77" s="2"/>
      <c r="E77" s="3" t="s">
        <v>285</v>
      </c>
      <c r="F77" s="2">
        <v>1</v>
      </c>
      <c r="G77" s="4">
        <v>38.799999999999997</v>
      </c>
      <c r="H77" s="4">
        <v>38.799999999999997</v>
      </c>
      <c r="I77" s="2" t="s">
        <v>286</v>
      </c>
      <c r="J77" s="5" t="s">
        <v>287</v>
      </c>
      <c r="K77" s="3" t="s">
        <v>288</v>
      </c>
    </row>
    <row r="78" spans="1:11" ht="30" x14ac:dyDescent="0.25">
      <c r="A78" s="2" t="s">
        <v>209</v>
      </c>
      <c r="B78" s="2" t="s">
        <v>289</v>
      </c>
      <c r="C78" s="2" t="s">
        <v>284</v>
      </c>
      <c r="D78" s="2"/>
      <c r="E78" s="3"/>
      <c r="F78" s="2">
        <v>1</v>
      </c>
      <c r="G78" s="2"/>
      <c r="H78" s="2"/>
      <c r="I78" s="2"/>
      <c r="J78" s="3"/>
      <c r="K78" s="3" t="s">
        <v>290</v>
      </c>
    </row>
    <row r="79" spans="1:11" ht="30" x14ac:dyDescent="0.25">
      <c r="A79" s="2" t="s">
        <v>209</v>
      </c>
      <c r="B79" s="2" t="s">
        <v>291</v>
      </c>
      <c r="C79" s="2" t="s">
        <v>284</v>
      </c>
      <c r="D79" s="2"/>
      <c r="E79" s="3"/>
      <c r="F79" s="2">
        <v>1</v>
      </c>
      <c r="G79" s="2"/>
      <c r="H79" s="2"/>
      <c r="I79" s="2"/>
      <c r="J79" s="3"/>
      <c r="K79" s="3" t="s">
        <v>290</v>
      </c>
    </row>
    <row r="80" spans="1:11" ht="30" x14ac:dyDescent="0.25">
      <c r="A80" s="2" t="s">
        <v>209</v>
      </c>
      <c r="B80" s="2" t="s">
        <v>292</v>
      </c>
      <c r="C80" s="2" t="s">
        <v>284</v>
      </c>
      <c r="D80" s="2"/>
      <c r="E80" s="3"/>
      <c r="F80" s="2">
        <v>2</v>
      </c>
      <c r="G80" s="2"/>
      <c r="H80" s="2"/>
      <c r="I80" s="2"/>
      <c r="J80" s="3"/>
      <c r="K80" s="3" t="s">
        <v>290</v>
      </c>
    </row>
    <row r="81" spans="1:11" ht="30" x14ac:dyDescent="0.25">
      <c r="A81" s="2" t="s">
        <v>209</v>
      </c>
      <c r="B81" s="2" t="s">
        <v>293</v>
      </c>
      <c r="C81" s="2" t="s">
        <v>284</v>
      </c>
      <c r="D81" s="2"/>
      <c r="E81" s="3"/>
      <c r="F81" s="2">
        <v>1</v>
      </c>
      <c r="G81" s="2"/>
      <c r="H81" s="2"/>
      <c r="I81" s="2"/>
      <c r="J81" s="3"/>
      <c r="K81" s="3" t="s">
        <v>290</v>
      </c>
    </row>
    <row r="82" spans="1:11" ht="30" x14ac:dyDescent="0.25">
      <c r="A82" s="2" t="s">
        <v>209</v>
      </c>
      <c r="B82" s="2" t="s">
        <v>294</v>
      </c>
      <c r="C82" s="2" t="s">
        <v>284</v>
      </c>
      <c r="D82" s="2"/>
      <c r="E82" s="3"/>
      <c r="F82" s="2">
        <v>1</v>
      </c>
      <c r="G82" s="2"/>
      <c r="H82" s="2"/>
      <c r="I82" s="2"/>
      <c r="J82" s="3"/>
      <c r="K82" s="3" t="s">
        <v>290</v>
      </c>
    </row>
    <row r="83" spans="1:11" ht="30" x14ac:dyDescent="0.25">
      <c r="A83" s="2" t="s">
        <v>209</v>
      </c>
      <c r="B83" s="2" t="s">
        <v>295</v>
      </c>
      <c r="C83" s="2" t="s">
        <v>284</v>
      </c>
      <c r="D83" s="2"/>
      <c r="E83" s="3"/>
      <c r="F83" s="2">
        <v>1</v>
      </c>
      <c r="G83" s="2"/>
      <c r="H83" s="2"/>
      <c r="I83" s="2"/>
      <c r="J83" s="3"/>
      <c r="K83" s="3" t="s">
        <v>290</v>
      </c>
    </row>
    <row r="84" spans="1:11" ht="30" x14ac:dyDescent="0.25">
      <c r="A84" s="2" t="s">
        <v>209</v>
      </c>
      <c r="B84" s="2" t="s">
        <v>296</v>
      </c>
      <c r="C84" s="2" t="s">
        <v>284</v>
      </c>
      <c r="D84" s="2"/>
      <c r="E84" s="3"/>
      <c r="F84" s="2">
        <v>1</v>
      </c>
      <c r="G84" s="2"/>
      <c r="H84" s="2"/>
      <c r="I84" s="2"/>
      <c r="J84" s="3"/>
      <c r="K84" s="3" t="s">
        <v>290</v>
      </c>
    </row>
    <row r="85" spans="1:11" ht="30" x14ac:dyDescent="0.25">
      <c r="A85" s="2" t="s">
        <v>209</v>
      </c>
      <c r="B85" s="2" t="s">
        <v>297</v>
      </c>
      <c r="C85" s="2" t="s">
        <v>284</v>
      </c>
      <c r="D85" s="2"/>
      <c r="E85" s="3"/>
      <c r="F85" s="2">
        <v>1</v>
      </c>
      <c r="G85" s="2"/>
      <c r="H85" s="2"/>
      <c r="I85" s="2"/>
      <c r="J85" s="3"/>
      <c r="K85" s="3" t="s">
        <v>290</v>
      </c>
    </row>
    <row r="86" spans="1:11" ht="30" x14ac:dyDescent="0.25">
      <c r="A86" s="2" t="s">
        <v>209</v>
      </c>
      <c r="B86" s="2" t="s">
        <v>298</v>
      </c>
      <c r="C86" s="2" t="s">
        <v>284</v>
      </c>
      <c r="D86" s="2"/>
      <c r="E86" s="3"/>
      <c r="F86" s="2">
        <v>1</v>
      </c>
      <c r="G86" s="2"/>
      <c r="H86" s="2"/>
      <c r="I86" s="2"/>
      <c r="J86" s="3"/>
      <c r="K86" s="3" t="s">
        <v>290</v>
      </c>
    </row>
    <row r="87" spans="1:11" ht="30" x14ac:dyDescent="0.25">
      <c r="A87" s="2" t="s">
        <v>209</v>
      </c>
      <c r="B87" s="2" t="s">
        <v>299</v>
      </c>
      <c r="C87" s="2" t="s">
        <v>284</v>
      </c>
      <c r="D87" s="2"/>
      <c r="E87" s="3"/>
      <c r="F87" s="2">
        <v>1</v>
      </c>
      <c r="G87" s="2"/>
      <c r="H87" s="2"/>
      <c r="I87" s="2"/>
      <c r="J87" s="3"/>
      <c r="K87" s="3" t="s">
        <v>290</v>
      </c>
    </row>
    <row r="88" spans="1:11" x14ac:dyDescent="0.25">
      <c r="G88" s="6" t="s">
        <v>300</v>
      </c>
      <c r="H88" s="7">
        <f>SUM(H2:H87)</f>
        <v>438.29800000000006</v>
      </c>
    </row>
  </sheetData>
  <autoFilter ref="A1:K87" xr:uid="{00000000-0009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8" r:id="rId26" xr:uid="{00000000-0004-0000-0000-000019000000}"/>
    <hyperlink ref="J29" r:id="rId27" xr:uid="{00000000-0004-0000-0000-00001A000000}"/>
    <hyperlink ref="J30" r:id="rId28" xr:uid="{00000000-0004-0000-0000-00001B000000}"/>
    <hyperlink ref="J31" r:id="rId29" xr:uid="{00000000-0004-0000-0000-00001C000000}"/>
    <hyperlink ref="J33" r:id="rId30" xr:uid="{00000000-0004-0000-0000-00001D000000}"/>
    <hyperlink ref="J34" r:id="rId31" xr:uid="{00000000-0004-0000-0000-00001E000000}"/>
    <hyperlink ref="J35" r:id="rId32" xr:uid="{00000000-0004-0000-0000-00001F000000}"/>
    <hyperlink ref="J36" r:id="rId33" xr:uid="{00000000-0004-0000-0000-000020000000}"/>
    <hyperlink ref="J37" r:id="rId34" xr:uid="{00000000-0004-0000-0000-000021000000}"/>
    <hyperlink ref="J38" r:id="rId35" xr:uid="{00000000-0004-0000-0000-000022000000}"/>
    <hyperlink ref="J39" r:id="rId36" xr:uid="{00000000-0004-0000-0000-000023000000}"/>
    <hyperlink ref="J40" r:id="rId37" xr:uid="{00000000-0004-0000-0000-000024000000}"/>
    <hyperlink ref="J41" r:id="rId38" xr:uid="{00000000-0004-0000-0000-000025000000}"/>
    <hyperlink ref="J42" r:id="rId39" xr:uid="{00000000-0004-0000-0000-000026000000}"/>
    <hyperlink ref="J43" r:id="rId40" xr:uid="{00000000-0004-0000-0000-000027000000}"/>
    <hyperlink ref="J44" r:id="rId41" xr:uid="{00000000-0004-0000-0000-000028000000}"/>
    <hyperlink ref="J45" r:id="rId42" xr:uid="{00000000-0004-0000-0000-000029000000}"/>
    <hyperlink ref="J46" r:id="rId43" xr:uid="{00000000-0004-0000-0000-00002A000000}"/>
    <hyperlink ref="J47" r:id="rId44" xr:uid="{00000000-0004-0000-0000-00002B000000}"/>
    <hyperlink ref="J48" r:id="rId45" xr:uid="{00000000-0004-0000-0000-00002C000000}"/>
    <hyperlink ref="J49" r:id="rId46" xr:uid="{00000000-0004-0000-0000-00002D000000}"/>
    <hyperlink ref="J51" r:id="rId47" xr:uid="{00000000-0004-0000-0000-00002E000000}"/>
    <hyperlink ref="J54" r:id="rId48" xr:uid="{00000000-0004-0000-0000-00002F000000}"/>
    <hyperlink ref="J56" r:id="rId49" xr:uid="{00000000-0004-0000-0000-000031000000}"/>
    <hyperlink ref="J59" r:id="rId50" xr:uid="{00000000-0004-0000-0000-000034000000}"/>
    <hyperlink ref="J60" r:id="rId51" xr:uid="{00000000-0004-0000-0000-000035000000}"/>
    <hyperlink ref="J61" r:id="rId52" xr:uid="{00000000-0004-0000-0000-000036000000}"/>
    <hyperlink ref="J62" r:id="rId53" xr:uid="{00000000-0004-0000-0000-000037000000}"/>
    <hyperlink ref="J63" r:id="rId54" xr:uid="{00000000-0004-0000-0000-000038000000}"/>
    <hyperlink ref="J65" r:id="rId55" xr:uid="{00000000-0004-0000-0000-000039000000}"/>
    <hyperlink ref="J66" r:id="rId56" xr:uid="{00000000-0004-0000-0000-00003A000000}"/>
    <hyperlink ref="J67" r:id="rId57" xr:uid="{00000000-0004-0000-0000-00003B000000}"/>
    <hyperlink ref="J68" r:id="rId58" xr:uid="{00000000-0004-0000-0000-00003C000000}"/>
    <hyperlink ref="J70" r:id="rId59" xr:uid="{00000000-0004-0000-0000-00003E000000}"/>
    <hyperlink ref="J71" r:id="rId60" xr:uid="{00000000-0004-0000-0000-00003F000000}"/>
    <hyperlink ref="J72" r:id="rId61" xr:uid="{00000000-0004-0000-0000-000040000000}"/>
    <hyperlink ref="J55" r:id="rId62" xr:uid="{9A9E7182-D561-448F-B3DE-713141C0DDE9}"/>
    <hyperlink ref="J57" r:id="rId63" xr:uid="{3B839FDA-2FC5-495B-BB70-0DB6DB1ABDB8}"/>
    <hyperlink ref="J58" r:id="rId64" xr:uid="{5CB89934-EE75-427F-8E6F-B4769E074DF0}"/>
    <hyperlink ref="J69" r:id="rId65" xr:uid="{2C81FA5E-6AA2-4B42-9246-602C00D996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SERRA Teo</cp:lastModifiedBy>
  <dcterms:created xsi:type="dcterms:W3CDTF">2026-08-12T14:13:21Z</dcterms:created>
  <dcterms:modified xsi:type="dcterms:W3CDTF">2026-10-15T18:39:48Z</dcterms:modified>
</cp:coreProperties>
</file>